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/>
  <workbookPr defaultThemeVersion="166925"/>
  <mc:AlternateContent xmlns:mc="http://schemas.openxmlformats.org/markup-compatibility/2006">
    <mc:Choice Requires="x15">
      <x15ac:absPath xmlns:x15ac="http://schemas.microsoft.com/office/spreadsheetml/2010/11/ac" url="E:\LN-GO\LN-BackEND\"/>
    </mc:Choice>
  </mc:AlternateContent>
  <xr:revisionPtr revIDLastSave="0" documentId="13_ncr:1_{295D25D9-796F-41CB-A753-11CA0DD62D2B}" xr6:coauthVersionLast="47" xr6:coauthVersionMax="47" xr10:uidLastSave="{00000000-0000-0000-0000-000000000000}"/>
  <bookViews>
    <workbookView xWindow="-108" yWindow="-108" windowWidth="23256" windowHeight="12576" activeTab="2" xr2:uid="{3D884203-E3D3-4C0E-A5AC-B0B3F9C4831E}"/>
  </bookViews>
  <sheets>
    <sheet name="Index" sheetId="2" r:id="rId1"/>
    <sheet name="Sheet1" sheetId="3" r:id="rId2"/>
    <sheet name="FormulaPlant" sheetId="1" r:id="rId3"/>
  </sheets>
  <definedNames>
    <definedName name="_xlnm._FilterDatabase" localSheetId="0" hidden="1">Index!$A$1:$N$41</definedName>
    <definedName name="SheetNames">REPLACE(GET.WORKBOOK(1),1,FIND("]",GET.WORKBOOK(1)),"")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6" i="3" l="1"/>
  <c r="C10" i="3"/>
  <c r="C11" i="3"/>
  <c r="C12" i="3"/>
  <c r="C13" i="3"/>
  <c r="C14" i="3"/>
  <c r="C15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9" i="3" l="1"/>
  <c r="C8" i="3"/>
  <c r="C7" i="3"/>
  <c r="C6" i="3"/>
  <c r="C5" i="3"/>
  <c r="C4" i="3"/>
  <c r="C3" i="3"/>
  <c r="C2" i="3"/>
  <c r="C3" i="1"/>
  <c r="C4" i="1"/>
  <c r="C5" i="1"/>
  <c r="C6" i="1"/>
  <c r="C7" i="1"/>
  <c r="C8" i="1"/>
  <c r="C9" i="1"/>
  <c r="C2" i="1"/>
  <c r="A36" i="2" a="1"/>
  <c r="A28" i="2" a="1"/>
  <c r="A13" i="2" a="1"/>
  <c r="A38" i="2" a="1"/>
  <c r="A31" i="2" a="1"/>
  <c r="A18" i="2" a="1"/>
  <c r="A8" i="2" a="1"/>
  <c r="A16" i="2" a="1"/>
  <c r="A39" i="2" a="1"/>
  <c r="A30" i="2" a="1"/>
  <c r="A35" i="2" a="1"/>
  <c r="A10" i="2" a="1"/>
  <c r="A37" i="2" a="1"/>
  <c r="A7" i="2" a="1"/>
  <c r="A22" i="2" a="1"/>
  <c r="A27" i="2" a="1"/>
  <c r="A23" i="2" a="1"/>
  <c r="A41" i="2" a="1"/>
  <c r="A14" i="2" a="1"/>
  <c r="A19" i="2" a="1"/>
  <c r="A15" i="2" a="1"/>
  <c r="A20" i="2" a="1"/>
  <c r="A33" i="2" a="1"/>
  <c r="A6" i="2" a="1"/>
  <c r="A11" i="2" a="1"/>
  <c r="A40" i="2" a="1"/>
  <c r="A12" i="2" a="1"/>
  <c r="A25" i="2" a="1"/>
  <c r="A29" i="2" a="1"/>
  <c r="A3" i="2" a="1"/>
  <c r="A32" i="2" a="1"/>
  <c r="A4" i="2" a="1"/>
  <c r="A17" i="2" a="1"/>
  <c r="A34" i="2" a="1"/>
  <c r="A5" i="2" a="1"/>
  <c r="A24" i="2" a="1"/>
  <c r="A21" i="2" a="1"/>
  <c r="A9" i="2" a="1"/>
  <c r="A2" i="2" a="1"/>
  <c r="A26" i="2" a="1"/>
  <c r="A26" i="2" l="1"/>
  <c r="C26" i="2" s="1"/>
  <c r="A2" i="2"/>
  <c r="C2" i="2" s="1"/>
  <c r="A9" i="2"/>
  <c r="C9" i="2" s="1"/>
  <c r="A21" i="2"/>
  <c r="C21" i="2" s="1"/>
  <c r="A24" i="2"/>
  <c r="C24" i="2" s="1"/>
  <c r="A5" i="2"/>
  <c r="C5" i="2" s="1"/>
  <c r="A34" i="2"/>
  <c r="C34" i="2" s="1"/>
  <c r="A17" i="2"/>
  <c r="C17" i="2" s="1"/>
  <c r="A4" i="2"/>
  <c r="C4" i="2" s="1"/>
  <c r="A32" i="2"/>
  <c r="C32" i="2" s="1"/>
  <c r="A3" i="2"/>
  <c r="C3" i="2" s="1"/>
  <c r="A29" i="2"/>
  <c r="C29" i="2" s="1"/>
  <c r="A25" i="2"/>
  <c r="C25" i="2" s="1"/>
  <c r="A12" i="2"/>
  <c r="C12" i="2" s="1"/>
  <c r="A40" i="2"/>
  <c r="C40" i="2" s="1"/>
  <c r="A11" i="2"/>
  <c r="C11" i="2" s="1"/>
  <c r="A6" i="2"/>
  <c r="C6" i="2" s="1"/>
  <c r="A33" i="2"/>
  <c r="C33" i="2" s="1"/>
  <c r="A20" i="2"/>
  <c r="C20" i="2" s="1"/>
  <c r="A15" i="2"/>
  <c r="C15" i="2" s="1"/>
  <c r="A19" i="2"/>
  <c r="C19" i="2" s="1"/>
  <c r="A14" i="2"/>
  <c r="C14" i="2" s="1"/>
  <c r="A41" i="2"/>
  <c r="C41" i="2" s="1"/>
  <c r="A23" i="2"/>
  <c r="C23" i="2" s="1"/>
  <c r="A27" i="2"/>
  <c r="C27" i="2" s="1"/>
  <c r="A22" i="2"/>
  <c r="C22" i="2" s="1"/>
  <c r="A7" i="2"/>
  <c r="C7" i="2" s="1"/>
  <c r="A37" i="2"/>
  <c r="C37" i="2" s="1"/>
  <c r="A10" i="2"/>
  <c r="C10" i="2" s="1"/>
  <c r="A35" i="2"/>
  <c r="C35" i="2" s="1"/>
  <c r="A30" i="2"/>
  <c r="C30" i="2" s="1"/>
  <c r="A39" i="2"/>
  <c r="C39" i="2" s="1"/>
  <c r="A16" i="2"/>
  <c r="C16" i="2" s="1"/>
  <c r="A8" i="2"/>
  <c r="C8" i="2" s="1"/>
  <c r="A18" i="2"/>
  <c r="C18" i="2" s="1"/>
  <c r="A31" i="2"/>
  <c r="C31" i="2" s="1"/>
  <c r="A38" i="2"/>
  <c r="C38" i="2" s="1"/>
  <c r="A13" i="2"/>
  <c r="C13" i="2" s="1"/>
  <c r="A28" i="2"/>
  <c r="C28" i="2" s="1"/>
  <c r="A36" i="2"/>
  <c r="C36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<sst xmlns="http://schemas.openxmlformats.org/spreadsheetml/2006/main" count="570" uniqueCount="192">
  <si>
    <t>Page</t>
  </si>
  <si>
    <t>Index</t>
  </si>
  <si>
    <t>Link</t>
  </si>
  <si>
    <t>Table Relate</t>
  </si>
  <si>
    <t>formula_plant</t>
  </si>
  <si>
    <t>plant</t>
  </si>
  <si>
    <t>plant_type</t>
  </si>
  <si>
    <t>favorite_plant</t>
  </si>
  <si>
    <t>trans_fertilizer_ratio</t>
  </si>
  <si>
    <t>fertilizer</t>
  </si>
  <si>
    <t>fertilizer_cat</t>
  </si>
  <si>
    <t>trans_sensor_value_rec</t>
  </si>
  <si>
    <t>model_</t>
  </si>
  <si>
    <t>.go</t>
  </si>
  <si>
    <t>model_formula_plant.go</t>
  </si>
  <si>
    <t>model_plant.go</t>
  </si>
  <si>
    <t>model_plant_type.go</t>
  </si>
  <si>
    <t>model_favorite_plant.go</t>
  </si>
  <si>
    <t>model_trans_fertilizer_ratio.go</t>
  </si>
  <si>
    <t>model_fertilizer.go</t>
  </si>
  <si>
    <t>model_fertilizer_cat.go</t>
  </si>
  <si>
    <t>model_trans_sensor_value_rec.go</t>
  </si>
  <si>
    <t>address_farm</t>
  </si>
  <si>
    <t>address_user</t>
  </si>
  <si>
    <t>country</t>
  </si>
  <si>
    <t>district</t>
  </si>
  <si>
    <t>farm</t>
  </si>
  <si>
    <t>farm_area</t>
  </si>
  <si>
    <t>indicate_type</t>
  </si>
  <si>
    <t>mainbox</t>
  </si>
  <si>
    <t>province</t>
  </si>
  <si>
    <t>role</t>
  </si>
  <si>
    <t>schedule</t>
  </si>
  <si>
    <t>sensor</t>
  </si>
  <si>
    <t>sensor_type</t>
  </si>
  <si>
    <t>session_action</t>
  </si>
  <si>
    <t>session_time</t>
  </si>
  <si>
    <t>socket</t>
  </si>
  <si>
    <t>status</t>
  </si>
  <si>
    <t>sub_district</t>
  </si>
  <si>
    <t>trans_management</t>
  </si>
  <si>
    <t>trans_schedule_farm</t>
  </si>
  <si>
    <t>trans_socket_area</t>
  </si>
  <si>
    <t>users</t>
  </si>
  <si>
    <t>platform</t>
  </si>
  <si>
    <t>gender</t>
  </si>
  <si>
    <t>frequency_type</t>
  </si>
  <si>
    <t>status_sensor</t>
  </si>
  <si>
    <t>model_address_farm.go</t>
  </si>
  <si>
    <t>model_address_user.go</t>
  </si>
  <si>
    <t>model_country.go</t>
  </si>
  <si>
    <t>model_district.go</t>
  </si>
  <si>
    <t>model_farm.go</t>
  </si>
  <si>
    <t>model_farm_area.go</t>
  </si>
  <si>
    <t>model_indicate_type.go</t>
  </si>
  <si>
    <t>model_mainbox.go</t>
  </si>
  <si>
    <t>model_province.go</t>
  </si>
  <si>
    <t>model_role.go</t>
  </si>
  <si>
    <t>model_schedule.go</t>
  </si>
  <si>
    <t>model_sensor.go</t>
  </si>
  <si>
    <t>model_sensor_type.go</t>
  </si>
  <si>
    <t>model_session_action.go</t>
  </si>
  <si>
    <t>model_session_time.go</t>
  </si>
  <si>
    <t>model_socket.go</t>
  </si>
  <si>
    <t>model_status.go</t>
  </si>
  <si>
    <t>model_sub_district.go</t>
  </si>
  <si>
    <t>model_trans_management.go</t>
  </si>
  <si>
    <t>model_trans_schedule_farm.go</t>
  </si>
  <si>
    <t>model_trans_socket_area.go</t>
  </si>
  <si>
    <t>model_users.go</t>
  </si>
  <si>
    <t>model_platform.go</t>
  </si>
  <si>
    <t>model_gender.go</t>
  </si>
  <si>
    <t>model_frequency_type.go</t>
  </si>
  <si>
    <t>model_status_sensor.go</t>
  </si>
  <si>
    <t>socket_action</t>
  </si>
  <si>
    <t>model_socket_action.go</t>
  </si>
  <si>
    <t>PK</t>
  </si>
  <si>
    <t>fertilizer_id</t>
  </si>
  <si>
    <t>formula_plant_id</t>
  </si>
  <si>
    <t>FK</t>
  </si>
  <si>
    <t>status_id</t>
  </si>
  <si>
    <t>ratio</t>
  </si>
  <si>
    <t>create_date</t>
  </si>
  <si>
    <t>change_date</t>
  </si>
  <si>
    <t>formula_name</t>
  </si>
  <si>
    <t>formula_desc</t>
  </si>
  <si>
    <t>people_used</t>
  </si>
  <si>
    <t>recommend1</t>
  </si>
  <si>
    <t>recommend2</t>
  </si>
  <si>
    <t>recommend3</t>
  </si>
  <si>
    <t>recommend4</t>
  </si>
  <si>
    <t>recommend5</t>
  </si>
  <si>
    <t>plant_id</t>
  </si>
  <si>
    <t>province_id</t>
  </si>
  <si>
    <t>country_id</t>
  </si>
  <si>
    <t>is_public</t>
  </si>
  <si>
    <t>plant_name_en</t>
  </si>
  <si>
    <t>plant_name_th</t>
  </si>
  <si>
    <t>plant_desc_en</t>
  </si>
  <si>
    <t>plant_desc_th</t>
  </si>
  <si>
    <t>plant_type_id</t>
  </si>
  <si>
    <t>plant_type_en</t>
  </si>
  <si>
    <t>plant_type_th</t>
  </si>
  <si>
    <t>uid</t>
  </si>
  <si>
    <t>sensor_type_id</t>
  </si>
  <si>
    <t>value_rec</t>
  </si>
  <si>
    <t>fertilizer_en</t>
  </si>
  <si>
    <t>fertilizer_th</t>
  </si>
  <si>
    <t>nitrogen</t>
  </si>
  <si>
    <t>phosphorus</t>
  </si>
  <si>
    <t>potassium</t>
  </si>
  <si>
    <t>fertilizer_cat_id</t>
  </si>
  <si>
    <t>fertilizer_cat_en</t>
  </si>
  <si>
    <t>fertilizer_cat_th</t>
  </si>
  <si>
    <t>Table _name</t>
  </si>
  <si>
    <t>Key</t>
  </si>
  <si>
    <t>Field</t>
  </si>
  <si>
    <t>Button</t>
  </si>
  <si>
    <t>ForPlantCat</t>
  </si>
  <si>
    <t>Component</t>
  </si>
  <si>
    <t>Name</t>
  </si>
  <si>
    <t>Model</t>
  </si>
  <si>
    <t>Catagory</t>
  </si>
  <si>
    <t>ส่งทีละ 100</t>
  </si>
  <si>
    <t>Field on DB</t>
  </si>
  <si>
    <t>Field golang</t>
  </si>
  <si>
    <t>PlantTypeId</t>
  </si>
  <si>
    <t>PlantId</t>
  </si>
  <si>
    <t>TotalItem</t>
  </si>
  <si>
    <t>N/A</t>
  </si>
  <si>
    <t>rate_score</t>
  </si>
  <si>
    <t>RatePeople</t>
  </si>
  <si>
    <t>RateScore</t>
  </si>
  <si>
    <t>DB name</t>
  </si>
  <si>
    <t>IsPlanted</t>
  </si>
  <si>
    <t>JSON</t>
  </si>
  <si>
    <t>total_item</t>
  </si>
  <si>
    <t>rate_people</t>
  </si>
  <si>
    <t>is_planted</t>
  </si>
  <si>
    <t>FormulaPlantId</t>
  </si>
  <si>
    <t>PeopleUsed</t>
  </si>
  <si>
    <t>FormulaDesc</t>
  </si>
  <si>
    <t>FormulaName</t>
  </si>
  <si>
    <t>IsPublic</t>
  </si>
  <si>
    <t>CountryId</t>
  </si>
  <si>
    <t>ProvinceId</t>
  </si>
  <si>
    <t>plant_desc</t>
  </si>
  <si>
    <t>plant_name</t>
  </si>
  <si>
    <t>PlantTypeName</t>
  </si>
  <si>
    <t>PlantName</t>
  </si>
  <si>
    <t>PlantDesc</t>
  </si>
  <si>
    <t>plant_type_name</t>
  </si>
  <si>
    <t>CountryName</t>
  </si>
  <si>
    <t>country_name</t>
  </si>
  <si>
    <t>ProvinceName</t>
  </si>
  <si>
    <t>province_name</t>
  </si>
  <si>
    <t>ForPlantItem</t>
  </si>
  <si>
    <t>Card</t>
  </si>
  <si>
    <t>Item</t>
  </si>
  <si>
    <t>is_favorite</t>
  </si>
  <si>
    <t>IsFavorite</t>
  </si>
  <si>
    <t>ForPlantCatItem</t>
  </si>
  <si>
    <t>Select this category</t>
  </si>
  <si>
    <t>PlantCatItem</t>
  </si>
  <si>
    <t>Type</t>
  </si>
  <si>
    <t>ForPlantItem[]</t>
  </si>
  <si>
    <t>Add view edit formulars</t>
  </si>
  <si>
    <t>ForPlantFormula</t>
  </si>
  <si>
    <t>SensorList</t>
  </si>
  <si>
    <t>FertList</t>
  </si>
  <si>
    <t>ForPlantSensor[]</t>
  </si>
  <si>
    <t>ForPlantFert</t>
  </si>
  <si>
    <t>ForPlantFert[]</t>
  </si>
  <si>
    <t>sensor_list</t>
  </si>
  <si>
    <t>fert_list</t>
  </si>
  <si>
    <t>plant_cat_item</t>
  </si>
  <si>
    <t>ForPlantSensor</t>
  </si>
  <si>
    <t>FertilizerId</t>
  </si>
  <si>
    <t>FertilizerName</t>
  </si>
  <si>
    <t>Nitrogen</t>
  </si>
  <si>
    <t>Phosphorus</t>
  </si>
  <si>
    <t>Potassium</t>
  </si>
  <si>
    <t>Ratio</t>
  </si>
  <si>
    <t>FertCatId</t>
  </si>
  <si>
    <t>FertCatName</t>
  </si>
  <si>
    <t>fertilizer_name</t>
  </si>
  <si>
    <t>fertilizer_cat_name</t>
  </si>
  <si>
    <t>SensorTypeId</t>
  </si>
  <si>
    <t>SensorTypeName</t>
  </si>
  <si>
    <t>ValueRec</t>
  </si>
  <si>
    <t>sensor_type_name</t>
  </si>
  <si>
    <t>ForPlantCatList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</si>
</sst>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24">
    <xf numFmtId="0" fontId="0" fillId="0" borderId="0" xfId="0"/>
    <xf numFmtId="0" fontId="0" fillId="2" borderId="1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2" fillId="5" borderId="1" xfId="0" applyFont="1" applyFill="1" applyBorder="1"/>
    <xf numFmtId="0" fontId="0" fillId="0" borderId="3" xfId="0" applyBorder="1"/>
    <xf numFmtId="0" fontId="0" fillId="0" borderId="3" xfId="0" applyBorder="1" applyAlignment="1">
      <alignment horizontal="center"/>
    </xf>
    <xf numFmtId="0" fontId="3" fillId="0" borderId="3" xfId="1" applyBorder="1" applyAlignment="1">
      <alignment horizontal="center"/>
    </xf>
    <xf numFmtId="0" fontId="1" fillId="0" borderId="1" xfId="0" applyFont="1" applyBorder="1"/>
    <xf numFmtId="0" fontId="1" fillId="0" borderId="1" xfId="0" applyFont="1" applyBorder="1" applyAlignment="1">
      <alignment vertical="center"/>
    </xf>
    <xf numFmtId="0" fontId="2" fillId="0" borderId="0" xfId="0" applyFont="1"/>
    <xf numFmtId="0" fontId="0" fillId="0" borderId="1" xfId="0" applyBorder="1"/>
    <xf numFmtId="0" fontId="0" fillId="5" borderId="1" xfId="0" applyFill="1" applyBorder="1"/>
    <xf numFmtId="0" fontId="0" fillId="0" borderId="1" xfId="0" applyFill="1" applyBorder="1"/>
    <xf numFmtId="0" fontId="0" fillId="3" borderId="1" xfId="0" applyFill="1" applyBorder="1"/>
    <xf numFmtId="0" fontId="0" fillId="6" borderId="1" xfId="0" applyFill="1" applyBorder="1" applyAlignment="1">
      <alignment horizontal="center" vertical="top"/>
    </xf>
    <xf numFmtId="0" fontId="0" fillId="7" borderId="1" xfId="0" applyFill="1" applyBorder="1" applyAlignment="1">
      <alignment horizontal="center" vertical="top"/>
    </xf>
    <xf numFmtId="0" fontId="0" fillId="7" borderId="1" xfId="0" applyFill="1" applyBorder="1"/>
    <xf numFmtId="0" fontId="0" fillId="6" borderId="1" xfId="0" applyFill="1" applyBorder="1"/>
    <xf numFmtId="0" fontId="0" fillId="8" borderId="1" xfId="0" applyFill="1" applyBorder="1"/>
    <xf numFmtId="0" fontId="0" fillId="0" borderId="3" xfId="0" applyFill="1" applyBorder="1"/>
    <xf numFmtId="0" fontId="1" fillId="3" borderId="1" xfId="0" applyFont="1" applyFill="1" applyBorder="1"/>
    <xf numFmtId="0" fontId="0" fillId="7" borderId="1" xfId="0" applyFill="1" applyBorder="1" applyAlignment="1">
      <alignment horizontal="center"/>
    </xf>
    <xf numFmtId="0" fontId="1" fillId="8" borderId="1" xfId="0" applyFont="1" applyFill="1" applyBorder="1"/>
  </cellXfs>
  <cellStyles count="2">
    <cellStyle name="Hyperlink" xfId="1" builtinId="8"/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175260</xdr:colOff>
      <xdr:row>1</xdr:row>
      <xdr:rowOff>68580</xdr:rowOff>
    </xdr:from>
    <xdr:to>
      <xdr:col>15</xdr:col>
      <xdr:colOff>445789</xdr:colOff>
      <xdr:row>23</xdr:row>
      <xdr:rowOff>151424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84FFD931-C4AE-40BC-9120-C89922A61F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97680" y="251460"/>
          <a:ext cx="4652029" cy="4106204"/>
        </a:xfrm>
        <a:prstGeom prst="rect">
          <a:avLst/>
        </a:prstGeom>
      </xdr:spPr>
    </xdr:pic>
    <xdr:clientData/>
  </xdr:twoCellAnchor>
  <xdr:twoCellAnchor editAs="oneCell">
    <xdr:from>
      <xdr:col>8</xdr:col>
      <xdr:colOff>152400</xdr:colOff>
      <xdr:row>24</xdr:row>
      <xdr:rowOff>167640</xdr:rowOff>
    </xdr:from>
    <xdr:to>
      <xdr:col>15</xdr:col>
      <xdr:colOff>398323</xdr:colOff>
      <xdr:row>42</xdr:row>
      <xdr:rowOff>67918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314D59A-AC4B-46A3-B9A9-D1F3D3D640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74820" y="4556760"/>
          <a:ext cx="4627423" cy="3192118"/>
        </a:xfrm>
        <a:prstGeom prst="rect">
          <a:avLst/>
        </a:prstGeom>
      </xdr:spPr>
    </xdr:pic>
    <xdr:clientData/>
  </xdr:twoCellAnchor>
  <xdr:twoCellAnchor editAs="oneCell">
    <xdr:from>
      <xdr:col>8</xdr:col>
      <xdr:colOff>114300</xdr:colOff>
      <xdr:row>42</xdr:row>
      <xdr:rowOff>144780</xdr:rowOff>
    </xdr:from>
    <xdr:to>
      <xdr:col>15</xdr:col>
      <xdr:colOff>396240</xdr:colOff>
      <xdr:row>61</xdr:row>
      <xdr:rowOff>39771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B6EDAD33-B628-4A75-8D58-3E42B92E14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236720" y="7825740"/>
          <a:ext cx="4663440" cy="336971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8916A9-52AF-4D1E-9229-3E2D2A1DA5B3}">
  <sheetPr codeName="Sheet1"/>
  <dimension ref="A1:N41"/>
  <sheetViews>
    <sheetView workbookViewId="0">
      <selection activeCell="A2" sqref="A2"/>
    </sheetView>
  </sheetViews>
  <sheetFormatPr defaultRowHeight="14.4" x14ac:dyDescent="0.3"/>
  <cols>
    <col min="1" max="1" width="19" style="5" customWidth="1"/>
    <col min="2" max="2" width="6" style="6" customWidth="1"/>
    <col min="3" max="3" width="8" style="6" customWidth="1"/>
    <col min="6" max="6" width="20.5546875" style="10" bestFit="1" customWidth="1"/>
    <col min="13" max="13" width="10.77734375" style="11" customWidth="1"/>
    <col min="14" max="14" width="11" style="11" bestFit="1" customWidth="1"/>
  </cols>
  <sheetData>
    <row r="1" spans="1:6" x14ac:dyDescent="0.3">
      <c r="A1" s="1" t="s">
        <v>0</v>
      </c>
      <c r="B1" s="2" t="s">
        <v>1</v>
      </c>
      <c r="C1" s="3" t="s">
        <v>2</v>
      </c>
      <c r="F1" s="4"/>
    </row>
    <row r="2" spans="1:6" x14ac:dyDescent="0.3">
      <c r="A2" s="5" t="str" cm="1">
        <f t="array" ref="A2">IFERROR(INDEX(SheetNames,B2),"")</f>
        <v>Formula</v>
      </c>
      <c r="B2" s="6">
        <v>2</v>
      </c>
      <c r="C2" s="7" t="str">
        <f>IFERROR(HYPERLINK("#'"&amp;A2&amp;"'!A1","Link"),"")</f>
        <v>Link</v>
      </c>
      <c r="F2" s="8"/>
    </row>
    <row r="3" spans="1:6" x14ac:dyDescent="0.3">
      <c r="A3" s="5" t="str" cm="1">
        <f t="array" ref="A3">IFERROR(INDEX(SheetNames,B3),"")</f>
        <v/>
      </c>
      <c r="B3" s="6">
        <v>3</v>
      </c>
      <c r="C3" s="7" t="str">
        <f t="shared" ref="C3:C41" si="0">IFERROR(HYPERLINK("#'"&amp;A3&amp;"'!A1","Link"),"")</f>
        <v>Link</v>
      </c>
      <c r="F3" s="8"/>
    </row>
    <row r="4" spans="1:6" x14ac:dyDescent="0.3">
      <c r="A4" s="5" t="str" cm="1">
        <f t="array" ref="A4">IFERROR(INDEX(SheetNames,B4),"")</f>
        <v/>
      </c>
      <c r="B4" s="6">
        <v>4</v>
      </c>
      <c r="C4" s="7" t="str">
        <f t="shared" si="0"/>
        <v>Link</v>
      </c>
      <c r="F4" s="9"/>
    </row>
    <row r="5" spans="1:6" x14ac:dyDescent="0.3">
      <c r="A5" s="5" t="str" cm="1">
        <f t="array" ref="A5">IFERROR(INDEX(SheetNames,B5),"")</f>
        <v/>
      </c>
      <c r="B5" s="6">
        <v>5</v>
      </c>
      <c r="C5" s="7" t="str">
        <f t="shared" si="0"/>
        <v>Link</v>
      </c>
      <c r="F5" s="9"/>
    </row>
    <row r="6" spans="1:6" x14ac:dyDescent="0.3">
      <c r="A6" s="5" t="str" cm="1">
        <f t="array" ref="A6">IFERROR(INDEX(SheetNames,B6),"")</f>
        <v/>
      </c>
      <c r="B6" s="6">
        <v>6</v>
      </c>
      <c r="C6" s="7" t="str">
        <f t="shared" si="0"/>
        <v>Link</v>
      </c>
      <c r="F6" s="9"/>
    </row>
    <row r="7" spans="1:6" x14ac:dyDescent="0.3">
      <c r="A7" s="5" t="str" cm="1">
        <f t="array" ref="A7">IFERROR(INDEX(SheetNames,B7),"")</f>
        <v/>
      </c>
      <c r="B7" s="6">
        <v>7</v>
      </c>
      <c r="C7" s="7" t="str">
        <f t="shared" si="0"/>
        <v>Link</v>
      </c>
      <c r="F7" s="9"/>
    </row>
    <row r="8" spans="1:6" x14ac:dyDescent="0.3">
      <c r="A8" s="5" t="str" cm="1">
        <f t="array" ref="A8">IFERROR(INDEX(SheetNames,B8),"")</f>
        <v/>
      </c>
      <c r="B8" s="6">
        <v>8</v>
      </c>
      <c r="C8" s="7" t="str">
        <f t="shared" si="0"/>
        <v>Link</v>
      </c>
      <c r="F8" s="9"/>
    </row>
    <row r="9" spans="1:6" x14ac:dyDescent="0.3">
      <c r="A9" s="5" t="str" cm="1">
        <f t="array" ref="A9">IFERROR(INDEX(SheetNames,B9),"")</f>
        <v/>
      </c>
      <c r="B9" s="6">
        <v>9</v>
      </c>
      <c r="C9" s="7" t="str">
        <f t="shared" si="0"/>
        <v>Link</v>
      </c>
      <c r="F9" s="8"/>
    </row>
    <row r="10" spans="1:6" x14ac:dyDescent="0.3">
      <c r="A10" s="5" t="str" cm="1">
        <f t="array" ref="A10">IFERROR(INDEX(SheetNames,B10),"")</f>
        <v/>
      </c>
      <c r="B10" s="6">
        <v>10</v>
      </c>
      <c r="C10" s="7" t="str">
        <f t="shared" si="0"/>
        <v>Link</v>
      </c>
      <c r="F10" s="9"/>
    </row>
    <row r="11" spans="1:6" x14ac:dyDescent="0.3">
      <c r="A11" s="5" t="str" cm="1">
        <f t="array" ref="A11">IFERROR(INDEX(SheetNames,B11),"")</f>
        <v/>
      </c>
      <c r="B11" s="6">
        <v>11</v>
      </c>
      <c r="C11" s="7" t="str">
        <f t="shared" si="0"/>
        <v>Link</v>
      </c>
      <c r="F11" s="9"/>
    </row>
    <row r="12" spans="1:6" x14ac:dyDescent="0.3">
      <c r="A12" s="5" t="str" cm="1">
        <f t="array" ref="A12">IFERROR(INDEX(SheetNames,B12),"")</f>
        <v/>
      </c>
      <c r="B12" s="6">
        <v>12</v>
      </c>
      <c r="C12" s="7" t="str">
        <f t="shared" si="0"/>
        <v>Link</v>
      </c>
      <c r="F12" s="9"/>
    </row>
    <row r="13" spans="1:6" x14ac:dyDescent="0.3">
      <c r="A13" s="5" t="str" cm="1">
        <f t="array" ref="A13">IFERROR(INDEX(SheetNames,B13),"")</f>
        <v/>
      </c>
      <c r="B13" s="6">
        <v>13</v>
      </c>
      <c r="C13" s="7" t="str">
        <f t="shared" si="0"/>
        <v>Link</v>
      </c>
      <c r="F13" s="9"/>
    </row>
    <row r="14" spans="1:6" x14ac:dyDescent="0.3">
      <c r="A14" s="5" t="str" cm="1">
        <f t="array" ref="A14">IFERROR(INDEX(SheetNames,B14),"")</f>
        <v/>
      </c>
      <c r="B14" s="6">
        <v>14</v>
      </c>
      <c r="C14" s="7" t="str">
        <f t="shared" si="0"/>
        <v>Link</v>
      </c>
      <c r="F14" s="9"/>
    </row>
    <row r="15" spans="1:6" x14ac:dyDescent="0.3">
      <c r="A15" s="5" t="str" cm="1">
        <f t="array" ref="A15">IFERROR(INDEX(SheetNames,B15),"")</f>
        <v/>
      </c>
      <c r="B15" s="6">
        <v>15</v>
      </c>
      <c r="C15" s="7" t="str">
        <f t="shared" si="0"/>
        <v>Link</v>
      </c>
      <c r="F15" s="9"/>
    </row>
    <row r="16" spans="1:6" x14ac:dyDescent="0.3">
      <c r="A16" s="5" t="str" cm="1">
        <f t="array" ref="A16">IFERROR(INDEX(SheetNames,B16),"")</f>
        <v/>
      </c>
      <c r="B16" s="6">
        <v>16</v>
      </c>
      <c r="C16" s="7" t="str">
        <f t="shared" si="0"/>
        <v>Link</v>
      </c>
      <c r="F16" s="9"/>
    </row>
    <row r="17" spans="1:6" x14ac:dyDescent="0.3">
      <c r="A17" s="5" t="str" cm="1">
        <f t="array" ref="A17">IFERROR(INDEX(SheetNames,B17),"")</f>
        <v/>
      </c>
      <c r="B17" s="6">
        <v>17</v>
      </c>
      <c r="C17" s="7" t="str">
        <f t="shared" si="0"/>
        <v>Link</v>
      </c>
      <c r="F17" s="9"/>
    </row>
    <row r="18" spans="1:6" x14ac:dyDescent="0.3">
      <c r="A18" s="5" t="str" cm="1">
        <f t="array" ref="A18">IFERROR(INDEX(SheetNames,B18),"")</f>
        <v/>
      </c>
      <c r="B18" s="6">
        <v>18</v>
      </c>
      <c r="C18" s="7" t="str">
        <f t="shared" si="0"/>
        <v>Link</v>
      </c>
      <c r="F18" s="9"/>
    </row>
    <row r="19" spans="1:6" x14ac:dyDescent="0.3">
      <c r="A19" s="5" t="str" cm="1">
        <f t="array" ref="A19">IFERROR(INDEX(SheetNames,B19),"")</f>
        <v/>
      </c>
      <c r="B19" s="6">
        <v>19</v>
      </c>
      <c r="C19" s="7" t="str">
        <f t="shared" si="0"/>
        <v>Link</v>
      </c>
      <c r="F19" s="9"/>
    </row>
    <row r="20" spans="1:6" x14ac:dyDescent="0.3">
      <c r="A20" s="5" t="str" cm="1">
        <f t="array" ref="A20">IFERROR(INDEX(SheetNames,B20),"")</f>
        <v/>
      </c>
      <c r="B20" s="6">
        <v>20</v>
      </c>
      <c r="C20" s="7" t="str">
        <f t="shared" si="0"/>
        <v>Link</v>
      </c>
      <c r="F20" s="9"/>
    </row>
    <row r="21" spans="1:6" x14ac:dyDescent="0.3">
      <c r="A21" s="5" t="str" cm="1">
        <f t="array" ref="A21">IFERROR(INDEX(SheetNames,B21),"")</f>
        <v/>
      </c>
      <c r="B21" s="6">
        <v>21</v>
      </c>
      <c r="C21" s="7" t="str">
        <f t="shared" si="0"/>
        <v>Link</v>
      </c>
      <c r="F21" s="9"/>
    </row>
    <row r="22" spans="1:6" x14ac:dyDescent="0.3">
      <c r="A22" s="5" t="str" cm="1">
        <f t="array" ref="A22">IFERROR(INDEX(SheetNames,B22),"")</f>
        <v/>
      </c>
      <c r="B22" s="6">
        <v>22</v>
      </c>
      <c r="C22" s="7" t="str">
        <f t="shared" si="0"/>
        <v>Link</v>
      </c>
      <c r="F22" s="9"/>
    </row>
    <row r="23" spans="1:6" x14ac:dyDescent="0.3">
      <c r="A23" s="5" t="str" cm="1">
        <f t="array" ref="A23">IFERROR(INDEX(SheetNames,B23),"")</f>
        <v/>
      </c>
      <c r="B23" s="6">
        <v>23</v>
      </c>
      <c r="C23" s="7" t="str">
        <f t="shared" si="0"/>
        <v>Link</v>
      </c>
      <c r="F23" s="9"/>
    </row>
    <row r="24" spans="1:6" x14ac:dyDescent="0.3">
      <c r="A24" s="5" t="str" cm="1">
        <f t="array" ref="A24">IFERROR(INDEX(SheetNames,B24),"")</f>
        <v/>
      </c>
      <c r="B24" s="6">
        <v>24</v>
      </c>
      <c r="C24" s="7" t="str">
        <f t="shared" si="0"/>
        <v>Link</v>
      </c>
      <c r="F24" s="9"/>
    </row>
    <row r="25" spans="1:6" x14ac:dyDescent="0.3">
      <c r="A25" s="5" t="str" cm="1">
        <f t="array" ref="A25">IFERROR(INDEX(SheetNames,B25),"")</f>
        <v/>
      </c>
      <c r="B25" s="6">
        <v>25</v>
      </c>
      <c r="C25" s="7" t="str">
        <f t="shared" si="0"/>
        <v>Link</v>
      </c>
      <c r="F25" s="9"/>
    </row>
    <row r="26" spans="1:6" x14ac:dyDescent="0.3">
      <c r="A26" s="5" t="str" cm="1">
        <f t="array" ref="A26">IFERROR(INDEX(SheetNames,B26),"")</f>
        <v/>
      </c>
      <c r="B26" s="6">
        <v>26</v>
      </c>
      <c r="C26" s="7" t="str">
        <f t="shared" si="0"/>
        <v>Link</v>
      </c>
      <c r="F26" s="9"/>
    </row>
    <row r="27" spans="1:6" x14ac:dyDescent="0.3">
      <c r="A27" s="5" t="str" cm="1">
        <f t="array" ref="A27">IFERROR(INDEX(SheetNames,B27),"")</f>
        <v/>
      </c>
      <c r="B27" s="6">
        <v>27</v>
      </c>
      <c r="C27" s="7" t="str">
        <f t="shared" si="0"/>
        <v>Link</v>
      </c>
      <c r="F27" s="9"/>
    </row>
    <row r="28" spans="1:6" x14ac:dyDescent="0.3">
      <c r="A28" s="5" t="str" cm="1">
        <f t="array" ref="A28">IFERROR(INDEX(SheetNames,B28),"")</f>
        <v/>
      </c>
      <c r="B28" s="6">
        <v>28</v>
      </c>
      <c r="C28" s="7" t="str">
        <f t="shared" si="0"/>
        <v>Link</v>
      </c>
      <c r="F28" s="9"/>
    </row>
    <row r="29" spans="1:6" x14ac:dyDescent="0.3">
      <c r="A29" s="5" t="str" cm="1">
        <f t="array" ref="A29">IFERROR(INDEX(SheetNames,B29),"")</f>
        <v/>
      </c>
      <c r="B29" s="6">
        <v>29</v>
      </c>
      <c r="C29" s="7" t="str">
        <f t="shared" si="0"/>
        <v>Link</v>
      </c>
      <c r="F29" s="9"/>
    </row>
    <row r="30" spans="1:6" x14ac:dyDescent="0.3">
      <c r="A30" s="5" t="str" cm="1">
        <f t="array" ref="A30">IFERROR(INDEX(SheetNames,B30),"")</f>
        <v/>
      </c>
      <c r="B30" s="6">
        <v>30</v>
      </c>
      <c r="C30" s="7" t="str">
        <f t="shared" si="0"/>
        <v>Link</v>
      </c>
      <c r="F30" s="9"/>
    </row>
    <row r="31" spans="1:6" x14ac:dyDescent="0.3">
      <c r="A31" s="5" t="str" cm="1">
        <f t="array" ref="A31">IFERROR(INDEX(SheetNames,B31),"")</f>
        <v/>
      </c>
      <c r="B31" s="6">
        <v>31</v>
      </c>
      <c r="C31" s="7" t="str">
        <f t="shared" si="0"/>
        <v>Link</v>
      </c>
      <c r="F31" s="9"/>
    </row>
    <row r="32" spans="1:6" x14ac:dyDescent="0.3">
      <c r="A32" s="5" t="str" cm="1">
        <f t="array" ref="A32">IFERROR(INDEX(SheetNames,B32),"")</f>
        <v/>
      </c>
      <c r="B32" s="6">
        <v>32</v>
      </c>
      <c r="C32" s="7" t="str">
        <f t="shared" si="0"/>
        <v>Link</v>
      </c>
      <c r="F32" s="9"/>
    </row>
    <row r="33" spans="1:6" x14ac:dyDescent="0.3">
      <c r="A33" s="5" t="str" cm="1">
        <f t="array" ref="A33">IFERROR(INDEX(SheetNames,B33),"")</f>
        <v/>
      </c>
      <c r="B33" s="6">
        <v>33</v>
      </c>
      <c r="C33" s="7" t="str">
        <f t="shared" si="0"/>
        <v>Link</v>
      </c>
      <c r="F33" s="9"/>
    </row>
    <row r="34" spans="1:6" x14ac:dyDescent="0.3">
      <c r="A34" s="5" t="str" cm="1">
        <f t="array" ref="A34">IFERROR(INDEX(SheetNames,B34),"")</f>
        <v/>
      </c>
      <c r="B34" s="6">
        <v>34</v>
      </c>
      <c r="C34" s="7" t="str">
        <f t="shared" si="0"/>
        <v>Link</v>
      </c>
      <c r="F34" s="9"/>
    </row>
    <row r="35" spans="1:6" x14ac:dyDescent="0.3">
      <c r="A35" s="5" t="str" cm="1">
        <f t="array" ref="A35">IFERROR(INDEX(SheetNames,B35),"")</f>
        <v/>
      </c>
      <c r="B35" s="6">
        <v>35</v>
      </c>
      <c r="C35" s="7" t="str">
        <f t="shared" si="0"/>
        <v>Link</v>
      </c>
    </row>
    <row r="36" spans="1:6" x14ac:dyDescent="0.3">
      <c r="A36" s="5" t="str" cm="1">
        <f t="array" ref="A36">IFERROR(INDEX(SheetNames,B36),"")</f>
        <v/>
      </c>
      <c r="B36" s="6">
        <v>36</v>
      </c>
      <c r="C36" s="7" t="str">
        <f t="shared" si="0"/>
        <v>Link</v>
      </c>
    </row>
    <row r="37" spans="1:6" x14ac:dyDescent="0.3">
      <c r="A37" s="5" t="str" cm="1">
        <f t="array" ref="A37">IFERROR(INDEX(SheetNames,B37),"")</f>
        <v/>
      </c>
      <c r="B37" s="6">
        <v>37</v>
      </c>
      <c r="C37" s="7" t="str">
        <f t="shared" si="0"/>
        <v>Link</v>
      </c>
    </row>
    <row r="38" spans="1:6" x14ac:dyDescent="0.3">
      <c r="A38" s="5" t="str" cm="1">
        <f t="array" ref="A38">IFERROR(INDEX(SheetNames,B38),"")</f>
        <v/>
      </c>
      <c r="B38" s="6">
        <v>38</v>
      </c>
      <c r="C38" s="7" t="str">
        <f t="shared" si="0"/>
        <v>Link</v>
      </c>
    </row>
    <row r="39" spans="1:6" x14ac:dyDescent="0.3">
      <c r="A39" s="5" t="str" cm="1">
        <f t="array" ref="A39">IFERROR(INDEX(SheetNames,B39),"")</f>
        <v/>
      </c>
      <c r="B39" s="6">
        <v>39</v>
      </c>
      <c r="C39" s="7" t="str">
        <f t="shared" si="0"/>
        <v>Link</v>
      </c>
    </row>
    <row r="40" spans="1:6" x14ac:dyDescent="0.3">
      <c r="A40" s="5" t="str" cm="1">
        <f t="array" ref="A40">IFERROR(INDEX(SheetNames,B40),"")</f>
        <v/>
      </c>
      <c r="B40" s="6">
        <v>40</v>
      </c>
      <c r="C40" s="7" t="str">
        <f t="shared" si="0"/>
        <v>Link</v>
      </c>
    </row>
    <row r="41" spans="1:6" x14ac:dyDescent="0.3">
      <c r="A41" s="5" t="str" cm="1">
        <f t="array" ref="A41">IFERROR(INDEX(SheetNames,B41),"")</f>
        <v/>
      </c>
      <c r="B41" s="6">
        <v>41</v>
      </c>
      <c r="C41" s="7" t="str">
        <f t="shared" si="0"/>
        <v>Link</v>
      </c>
    </row>
  </sheetData>
  <autoFilter ref="A1:N41" xr:uid="{6048978E-6D07-449B-B45D-BA96943D86AF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EE6E04-45EE-44F1-937E-A9D188424E5C}">
  <dimension ref="A1:D36"/>
  <sheetViews>
    <sheetView workbookViewId="0">
      <selection activeCell="G18" sqref="G18"/>
    </sheetView>
  </sheetViews>
  <sheetFormatPr defaultRowHeight="14.4" x14ac:dyDescent="0.3"/>
  <cols>
    <col min="1" max="1" width="20.5546875" bestFit="1" customWidth="1"/>
    <col min="3" max="3" width="29.5546875" hidden="1" customWidth="1"/>
    <col min="4" max="4" width="29.5546875" bestFit="1" customWidth="1"/>
    <col min="7" max="8" width="20.5546875" bestFit="1" customWidth="1"/>
  </cols>
  <sheetData>
    <row r="1" spans="1:4" x14ac:dyDescent="0.3">
      <c r="A1" s="12" t="s">
        <v>3</v>
      </c>
      <c r="C1" t="s">
        <v>12</v>
      </c>
      <c r="D1" t="s">
        <v>13</v>
      </c>
    </row>
    <row r="2" spans="1:4" x14ac:dyDescent="0.3">
      <c r="A2" s="14" t="s">
        <v>4</v>
      </c>
      <c r="C2" t="str">
        <f>_xlfn.CONCAT($C$1,A2,$D$1)</f>
        <v>model_formula_plant.go</v>
      </c>
      <c r="D2" t="s">
        <v>14</v>
      </c>
    </row>
    <row r="3" spans="1:4" x14ac:dyDescent="0.3">
      <c r="A3" s="14" t="s">
        <v>5</v>
      </c>
      <c r="C3" t="str">
        <f t="shared" ref="C3:C36" si="0">_xlfn.CONCAT($C$1,A3,$D$1)</f>
        <v>model_plant.go</v>
      </c>
      <c r="D3" t="s">
        <v>15</v>
      </c>
    </row>
    <row r="4" spans="1:4" x14ac:dyDescent="0.3">
      <c r="A4" s="14" t="s">
        <v>6</v>
      </c>
      <c r="C4" t="str">
        <f t="shared" si="0"/>
        <v>model_plant_type.go</v>
      </c>
      <c r="D4" t="s">
        <v>16</v>
      </c>
    </row>
    <row r="5" spans="1:4" x14ac:dyDescent="0.3">
      <c r="A5" s="14" t="s">
        <v>7</v>
      </c>
      <c r="C5" t="str">
        <f t="shared" si="0"/>
        <v>model_favorite_plant.go</v>
      </c>
      <c r="D5" t="s">
        <v>17</v>
      </c>
    </row>
    <row r="6" spans="1:4" x14ac:dyDescent="0.3">
      <c r="A6" s="14" t="s">
        <v>8</v>
      </c>
      <c r="C6" t="str">
        <f t="shared" si="0"/>
        <v>model_trans_fertilizer_ratio.go</v>
      </c>
      <c r="D6" t="s">
        <v>18</v>
      </c>
    </row>
    <row r="7" spans="1:4" x14ac:dyDescent="0.3">
      <c r="A7" s="14" t="s">
        <v>9</v>
      </c>
      <c r="C7" t="str">
        <f t="shared" si="0"/>
        <v>model_fertilizer.go</v>
      </c>
      <c r="D7" t="s">
        <v>19</v>
      </c>
    </row>
    <row r="8" spans="1:4" x14ac:dyDescent="0.3">
      <c r="A8" s="14" t="s">
        <v>10</v>
      </c>
      <c r="C8" t="str">
        <f t="shared" si="0"/>
        <v>model_fertilizer_cat.go</v>
      </c>
      <c r="D8" t="s">
        <v>20</v>
      </c>
    </row>
    <row r="9" spans="1:4" x14ac:dyDescent="0.3">
      <c r="A9" s="14" t="s">
        <v>11</v>
      </c>
      <c r="C9" t="str">
        <f t="shared" si="0"/>
        <v>model_trans_sensor_value_rec.go</v>
      </c>
      <c r="D9" t="s">
        <v>21</v>
      </c>
    </row>
    <row r="10" spans="1:4" x14ac:dyDescent="0.3">
      <c r="A10" s="14" t="s">
        <v>22</v>
      </c>
      <c r="C10" t="str">
        <f t="shared" si="0"/>
        <v>model_address_farm.go</v>
      </c>
      <c r="D10" t="s">
        <v>48</v>
      </c>
    </row>
    <row r="11" spans="1:4" x14ac:dyDescent="0.3">
      <c r="A11" s="14" t="s">
        <v>23</v>
      </c>
      <c r="C11" t="str">
        <f t="shared" si="0"/>
        <v>model_address_user.go</v>
      </c>
      <c r="D11" t="s">
        <v>49</v>
      </c>
    </row>
    <row r="12" spans="1:4" x14ac:dyDescent="0.3">
      <c r="A12" s="14" t="s">
        <v>24</v>
      </c>
      <c r="C12" t="str">
        <f t="shared" si="0"/>
        <v>model_country.go</v>
      </c>
      <c r="D12" t="s">
        <v>50</v>
      </c>
    </row>
    <row r="13" spans="1:4" x14ac:dyDescent="0.3">
      <c r="A13" s="14" t="s">
        <v>25</v>
      </c>
      <c r="C13" t="str">
        <f t="shared" si="0"/>
        <v>model_district.go</v>
      </c>
      <c r="D13" t="s">
        <v>51</v>
      </c>
    </row>
    <row r="14" spans="1:4" x14ac:dyDescent="0.3">
      <c r="A14" s="14" t="s">
        <v>26</v>
      </c>
      <c r="C14" t="str">
        <f t="shared" si="0"/>
        <v>model_farm.go</v>
      </c>
      <c r="D14" t="s">
        <v>52</v>
      </c>
    </row>
    <row r="15" spans="1:4" x14ac:dyDescent="0.3">
      <c r="A15" s="14" t="s">
        <v>27</v>
      </c>
      <c r="C15" t="str">
        <f t="shared" si="0"/>
        <v>model_farm_area.go</v>
      </c>
      <c r="D15" t="s">
        <v>53</v>
      </c>
    </row>
    <row r="16" spans="1:4" x14ac:dyDescent="0.3">
      <c r="A16" s="14" t="s">
        <v>74</v>
      </c>
      <c r="C16" t="str">
        <f>_xlfn.CONCAT($C$1,A16,$D$1)</f>
        <v>model_socket_action.go</v>
      </c>
      <c r="D16" t="s">
        <v>75</v>
      </c>
    </row>
    <row r="17" spans="1:4" x14ac:dyDescent="0.3">
      <c r="A17" s="14" t="s">
        <v>28</v>
      </c>
      <c r="C17" t="str">
        <f t="shared" si="0"/>
        <v>model_indicate_type.go</v>
      </c>
      <c r="D17" t="s">
        <v>54</v>
      </c>
    </row>
    <row r="18" spans="1:4" x14ac:dyDescent="0.3">
      <c r="A18" s="14" t="s">
        <v>29</v>
      </c>
      <c r="C18" t="str">
        <f t="shared" si="0"/>
        <v>model_mainbox.go</v>
      </c>
      <c r="D18" t="s">
        <v>55</v>
      </c>
    </row>
    <row r="19" spans="1:4" x14ac:dyDescent="0.3">
      <c r="A19" s="14" t="s">
        <v>30</v>
      </c>
      <c r="C19" t="str">
        <f t="shared" si="0"/>
        <v>model_province.go</v>
      </c>
      <c r="D19" t="s">
        <v>56</v>
      </c>
    </row>
    <row r="20" spans="1:4" x14ac:dyDescent="0.3">
      <c r="A20" s="14" t="s">
        <v>31</v>
      </c>
      <c r="C20" t="str">
        <f t="shared" si="0"/>
        <v>model_role.go</v>
      </c>
      <c r="D20" t="s">
        <v>57</v>
      </c>
    </row>
    <row r="21" spans="1:4" x14ac:dyDescent="0.3">
      <c r="A21" s="14" t="s">
        <v>32</v>
      </c>
      <c r="C21" t="str">
        <f t="shared" si="0"/>
        <v>model_schedule.go</v>
      </c>
      <c r="D21" t="s">
        <v>58</v>
      </c>
    </row>
    <row r="22" spans="1:4" x14ac:dyDescent="0.3">
      <c r="A22" s="14" t="s">
        <v>33</v>
      </c>
      <c r="C22" t="str">
        <f t="shared" si="0"/>
        <v>model_sensor.go</v>
      </c>
      <c r="D22" t="s">
        <v>59</v>
      </c>
    </row>
    <row r="23" spans="1:4" x14ac:dyDescent="0.3">
      <c r="A23" s="14" t="s">
        <v>34</v>
      </c>
      <c r="C23" t="str">
        <f t="shared" si="0"/>
        <v>model_sensor_type.go</v>
      </c>
      <c r="D23" t="s">
        <v>60</v>
      </c>
    </row>
    <row r="24" spans="1:4" x14ac:dyDescent="0.3">
      <c r="A24" s="14" t="s">
        <v>35</v>
      </c>
      <c r="C24" t="str">
        <f t="shared" si="0"/>
        <v>model_session_action.go</v>
      </c>
      <c r="D24" t="s">
        <v>61</v>
      </c>
    </row>
    <row r="25" spans="1:4" x14ac:dyDescent="0.3">
      <c r="A25" s="14" t="s">
        <v>36</v>
      </c>
      <c r="C25" t="str">
        <f t="shared" si="0"/>
        <v>model_session_time.go</v>
      </c>
      <c r="D25" t="s">
        <v>62</v>
      </c>
    </row>
    <row r="26" spans="1:4" x14ac:dyDescent="0.3">
      <c r="A26" s="14" t="s">
        <v>37</v>
      </c>
      <c r="C26" t="str">
        <f t="shared" si="0"/>
        <v>model_socket.go</v>
      </c>
      <c r="D26" t="s">
        <v>63</v>
      </c>
    </row>
    <row r="27" spans="1:4" x14ac:dyDescent="0.3">
      <c r="A27" s="14" t="s">
        <v>38</v>
      </c>
      <c r="C27" t="str">
        <f t="shared" si="0"/>
        <v>model_status.go</v>
      </c>
      <c r="D27" t="s">
        <v>64</v>
      </c>
    </row>
    <row r="28" spans="1:4" x14ac:dyDescent="0.3">
      <c r="A28" s="14" t="s">
        <v>39</v>
      </c>
      <c r="C28" t="str">
        <f t="shared" si="0"/>
        <v>model_sub_district.go</v>
      </c>
      <c r="D28" t="s">
        <v>65</v>
      </c>
    </row>
    <row r="29" spans="1:4" x14ac:dyDescent="0.3">
      <c r="A29" s="14" t="s">
        <v>40</v>
      </c>
      <c r="C29" t="str">
        <f t="shared" si="0"/>
        <v>model_trans_management.go</v>
      </c>
      <c r="D29" t="s">
        <v>66</v>
      </c>
    </row>
    <row r="30" spans="1:4" x14ac:dyDescent="0.3">
      <c r="A30" s="14" t="s">
        <v>41</v>
      </c>
      <c r="C30" t="str">
        <f t="shared" si="0"/>
        <v>model_trans_schedule_farm.go</v>
      </c>
      <c r="D30" t="s">
        <v>67</v>
      </c>
    </row>
    <row r="31" spans="1:4" x14ac:dyDescent="0.3">
      <c r="A31" s="14" t="s">
        <v>42</v>
      </c>
      <c r="C31" t="str">
        <f t="shared" si="0"/>
        <v>model_trans_socket_area.go</v>
      </c>
      <c r="D31" t="s">
        <v>68</v>
      </c>
    </row>
    <row r="32" spans="1:4" x14ac:dyDescent="0.3">
      <c r="A32" s="14" t="s">
        <v>43</v>
      </c>
      <c r="C32" t="str">
        <f t="shared" si="0"/>
        <v>model_users.go</v>
      </c>
      <c r="D32" t="s">
        <v>69</v>
      </c>
    </row>
    <row r="33" spans="1:4" x14ac:dyDescent="0.3">
      <c r="A33" s="14" t="s">
        <v>44</v>
      </c>
      <c r="C33" t="str">
        <f t="shared" si="0"/>
        <v>model_platform.go</v>
      </c>
      <c r="D33" t="s">
        <v>70</v>
      </c>
    </row>
    <row r="34" spans="1:4" x14ac:dyDescent="0.3">
      <c r="A34" s="14" t="s">
        <v>45</v>
      </c>
      <c r="C34" t="str">
        <f t="shared" si="0"/>
        <v>model_gender.go</v>
      </c>
      <c r="D34" t="s">
        <v>71</v>
      </c>
    </row>
    <row r="35" spans="1:4" x14ac:dyDescent="0.3">
      <c r="A35" s="14" t="s">
        <v>46</v>
      </c>
      <c r="C35" t="str">
        <f t="shared" si="0"/>
        <v>model_frequency_type.go</v>
      </c>
      <c r="D35" t="s">
        <v>72</v>
      </c>
    </row>
    <row r="36" spans="1:4" x14ac:dyDescent="0.3">
      <c r="A36" s="14" t="s">
        <v>47</v>
      </c>
      <c r="C36" t="str">
        <f t="shared" si="0"/>
        <v>model_status_sensor.go</v>
      </c>
      <c r="D36" t="s">
        <v>73</v>
      </c>
    </row>
  </sheetData>
  <sortState xmlns:xlrd2="http://schemas.microsoft.com/office/spreadsheetml/2017/richdata2" ref="G1:G36">
    <sortCondition ref="G1:G36"/>
  </sortState>
  <conditionalFormatting sqref="A45:A1048576 A1:A36">
    <cfRule type="duplicateValues" dxfId="2" priority="15"/>
  </conditionalFormatting>
  <conditionalFormatting sqref="A10:A36">
    <cfRule type="duplicateValues" dxfId="1" priority="19"/>
  </conditionalFormatting>
  <conditionalFormatting sqref="G1:H1048576">
    <cfRule type="duplicateValues" dxfId="0" priority="1"/>
  </conditionalFormatting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5F13D-3E3C-4FFC-AEB9-2CF9DAA24886}">
  <dimension ref="A1:Y65"/>
  <sheetViews>
    <sheetView tabSelected="1" topLeftCell="L1" workbookViewId="0">
      <selection activeCell="V17" sqref="V17"/>
    </sheetView>
  </sheetViews>
  <sheetFormatPr defaultRowHeight="14.4" x14ac:dyDescent="0.3"/>
  <cols>
    <col min="1" max="1" width="20.5546875" bestFit="1" customWidth="1"/>
    <col min="2" max="2" width="3" hidden="1" customWidth="1"/>
    <col min="3" max="4" width="29.5546875" hidden="1" customWidth="1"/>
    <col min="5" max="5" width="0" hidden="1" customWidth="1"/>
    <col min="6" max="6" width="20.5546875" bestFit="1" customWidth="1"/>
    <col min="7" max="7" width="3.88671875" bestFit="1" customWidth="1"/>
    <col min="8" max="8" width="15.109375" bestFit="1" customWidth="1"/>
    <col min="11" max="11" width="10.5546875" bestFit="1" customWidth="1"/>
    <col min="17" max="17" width="10.5546875" style="11" bestFit="1" customWidth="1"/>
    <col min="18" max="18" width="20.44140625" style="11" bestFit="1" customWidth="1"/>
    <col min="19" max="20" width="14.6640625" style="11" customWidth="1"/>
    <col min="21" max="24" width="22.33203125" style="11" customWidth="1"/>
    <col min="25" max="25" width="10.33203125" bestFit="1" customWidth="1"/>
  </cols>
  <sheetData>
    <row r="1" spans="1:25" x14ac:dyDescent="0.3">
      <c r="A1" s="12" t="s">
        <v>3</v>
      </c>
      <c r="C1" t="s">
        <v>12</v>
      </c>
      <c r="D1" t="s">
        <v>13</v>
      </c>
      <c r="F1" s="15" t="s">
        <v>114</v>
      </c>
      <c r="G1" s="16" t="s">
        <v>115</v>
      </c>
      <c r="H1" s="15" t="s">
        <v>116</v>
      </c>
      <c r="Q1" s="17" t="s">
        <v>119</v>
      </c>
      <c r="R1" s="18" t="s">
        <v>120</v>
      </c>
      <c r="S1" s="17" t="s">
        <v>121</v>
      </c>
      <c r="T1" s="18" t="s">
        <v>133</v>
      </c>
      <c r="U1" s="17" t="s">
        <v>125</v>
      </c>
      <c r="V1" s="18" t="s">
        <v>124</v>
      </c>
      <c r="W1" s="17" t="s">
        <v>135</v>
      </c>
      <c r="X1" s="22" t="s">
        <v>164</v>
      </c>
    </row>
    <row r="2" spans="1:25" x14ac:dyDescent="0.3">
      <c r="A2" s="11" t="s">
        <v>4</v>
      </c>
      <c r="C2" t="str">
        <f>_xlfn.CONCAT($C$1,A2,$D$1)</f>
        <v>model_formula_plant.go</v>
      </c>
      <c r="D2" t="s">
        <v>14</v>
      </c>
      <c r="F2" s="14" t="s">
        <v>8</v>
      </c>
      <c r="G2" s="14" t="s">
        <v>76</v>
      </c>
      <c r="H2" s="14" t="s">
        <v>77</v>
      </c>
      <c r="Q2" s="23" t="s">
        <v>117</v>
      </c>
      <c r="R2" s="23" t="s">
        <v>122</v>
      </c>
      <c r="S2" s="23" t="s">
        <v>118</v>
      </c>
      <c r="T2" s="23" t="s">
        <v>6</v>
      </c>
      <c r="U2" s="23" t="s">
        <v>126</v>
      </c>
      <c r="V2" s="23" t="s">
        <v>100</v>
      </c>
      <c r="W2" s="23" t="s">
        <v>100</v>
      </c>
      <c r="X2" s="19"/>
      <c r="Y2" s="20" t="s">
        <v>123</v>
      </c>
    </row>
    <row r="3" spans="1:25" x14ac:dyDescent="0.3">
      <c r="A3" s="11" t="s">
        <v>5</v>
      </c>
      <c r="C3" t="str">
        <f t="shared" ref="C3:C9" si="0">_xlfn.CONCAT($C$1,A3,$D$1)</f>
        <v>model_plant.go</v>
      </c>
      <c r="D3" t="s">
        <v>15</v>
      </c>
      <c r="F3" s="14" t="s">
        <v>8</v>
      </c>
      <c r="G3" s="14" t="s">
        <v>76</v>
      </c>
      <c r="H3" s="14" t="s">
        <v>78</v>
      </c>
      <c r="Q3" s="23" t="s">
        <v>117</v>
      </c>
      <c r="R3" s="23" t="s">
        <v>122</v>
      </c>
      <c r="S3" s="23" t="s">
        <v>118</v>
      </c>
      <c r="T3" s="23" t="s">
        <v>6</v>
      </c>
      <c r="U3" s="23" t="s">
        <v>148</v>
      </c>
      <c r="V3" s="23" t="s">
        <v>6</v>
      </c>
      <c r="W3" s="23" t="s">
        <v>151</v>
      </c>
      <c r="X3" s="19"/>
    </row>
    <row r="4" spans="1:25" x14ac:dyDescent="0.3">
      <c r="A4" s="11" t="s">
        <v>6</v>
      </c>
      <c r="C4" t="str">
        <f t="shared" si="0"/>
        <v>model_plant_type.go</v>
      </c>
      <c r="D4" t="s">
        <v>16</v>
      </c>
      <c r="F4" s="14" t="s">
        <v>8</v>
      </c>
      <c r="G4" s="14" t="s">
        <v>79</v>
      </c>
      <c r="H4" s="14" t="s">
        <v>80</v>
      </c>
      <c r="Q4" s="23" t="s">
        <v>117</v>
      </c>
      <c r="R4" s="23" t="s">
        <v>122</v>
      </c>
      <c r="S4" s="23" t="s">
        <v>118</v>
      </c>
      <c r="T4" s="23" t="s">
        <v>5</v>
      </c>
      <c r="U4" s="23" t="s">
        <v>127</v>
      </c>
      <c r="V4" s="23" t="s">
        <v>92</v>
      </c>
      <c r="W4" s="23" t="s">
        <v>92</v>
      </c>
      <c r="X4" s="19"/>
    </row>
    <row r="5" spans="1:25" x14ac:dyDescent="0.3">
      <c r="A5" s="11" t="s">
        <v>7</v>
      </c>
      <c r="C5" t="str">
        <f t="shared" si="0"/>
        <v>model_favorite_plant.go</v>
      </c>
      <c r="D5" t="s">
        <v>17</v>
      </c>
      <c r="F5" s="14" t="s">
        <v>8</v>
      </c>
      <c r="G5" s="14"/>
      <c r="H5" s="14" t="s">
        <v>81</v>
      </c>
      <c r="Q5" s="23" t="s">
        <v>117</v>
      </c>
      <c r="R5" s="23" t="s">
        <v>122</v>
      </c>
      <c r="S5" s="23" t="s">
        <v>118</v>
      </c>
      <c r="T5" s="23" t="s">
        <v>5</v>
      </c>
      <c r="U5" s="23" t="s">
        <v>149</v>
      </c>
      <c r="V5" s="23" t="s">
        <v>147</v>
      </c>
      <c r="W5" s="23" t="s">
        <v>147</v>
      </c>
      <c r="X5" s="19"/>
    </row>
    <row r="6" spans="1:25" x14ac:dyDescent="0.3">
      <c r="A6" s="11" t="s">
        <v>8</v>
      </c>
      <c r="C6" t="str">
        <f t="shared" si="0"/>
        <v>model_trans_fertilizer_ratio.go</v>
      </c>
      <c r="D6" t="s">
        <v>18</v>
      </c>
      <c r="F6" s="14" t="s">
        <v>8</v>
      </c>
      <c r="G6" s="14"/>
      <c r="H6" s="14" t="s">
        <v>82</v>
      </c>
      <c r="Q6" s="23" t="s">
        <v>117</v>
      </c>
      <c r="R6" s="23" t="s">
        <v>122</v>
      </c>
      <c r="S6" s="23" t="s">
        <v>118</v>
      </c>
      <c r="T6" s="23" t="s">
        <v>5</v>
      </c>
      <c r="U6" s="23" t="s">
        <v>150</v>
      </c>
      <c r="V6" s="23" t="s">
        <v>146</v>
      </c>
      <c r="W6" s="23" t="s">
        <v>146</v>
      </c>
      <c r="X6" s="19"/>
    </row>
    <row r="7" spans="1:25" x14ac:dyDescent="0.3">
      <c r="A7" s="11" t="s">
        <v>9</v>
      </c>
      <c r="C7" t="str">
        <f t="shared" si="0"/>
        <v>model_fertilizer.go</v>
      </c>
      <c r="D7" t="s">
        <v>19</v>
      </c>
      <c r="F7" s="14" t="s">
        <v>8</v>
      </c>
      <c r="G7" s="14"/>
      <c r="H7" s="14" t="s">
        <v>83</v>
      </c>
      <c r="Q7" s="23" t="s">
        <v>117</v>
      </c>
      <c r="R7" s="23" t="s">
        <v>122</v>
      </c>
      <c r="S7" s="23" t="s">
        <v>118</v>
      </c>
      <c r="T7" s="23" t="s">
        <v>5</v>
      </c>
      <c r="U7" s="23" t="s">
        <v>128</v>
      </c>
      <c r="V7" s="23" t="s">
        <v>136</v>
      </c>
      <c r="W7" s="23" t="s">
        <v>136</v>
      </c>
      <c r="X7" s="19"/>
    </row>
    <row r="8" spans="1:25" x14ac:dyDescent="0.3">
      <c r="A8" s="11" t="s">
        <v>10</v>
      </c>
      <c r="C8" t="str">
        <f t="shared" si="0"/>
        <v>model_fertilizer_cat.go</v>
      </c>
      <c r="D8" t="s">
        <v>20</v>
      </c>
      <c r="F8" s="11" t="s">
        <v>4</v>
      </c>
      <c r="G8" s="11" t="s">
        <v>76</v>
      </c>
      <c r="H8" s="11" t="s">
        <v>78</v>
      </c>
      <c r="Q8" s="11" t="s">
        <v>157</v>
      </c>
      <c r="R8" s="11" t="s">
        <v>158</v>
      </c>
      <c r="S8" s="11" t="s">
        <v>156</v>
      </c>
      <c r="T8" s="13" t="s">
        <v>6</v>
      </c>
      <c r="U8" s="11" t="s">
        <v>126</v>
      </c>
      <c r="V8" s="11" t="s">
        <v>100</v>
      </c>
      <c r="W8" s="11" t="s">
        <v>100</v>
      </c>
    </row>
    <row r="9" spans="1:25" x14ac:dyDescent="0.3">
      <c r="A9" s="13" t="s">
        <v>11</v>
      </c>
      <c r="C9" t="str">
        <f t="shared" si="0"/>
        <v>model_trans_sensor_value_rec.go</v>
      </c>
      <c r="D9" t="s">
        <v>21</v>
      </c>
      <c r="F9" s="11" t="s">
        <v>4</v>
      </c>
      <c r="G9" s="11"/>
      <c r="H9" s="11" t="s">
        <v>84</v>
      </c>
      <c r="Q9" s="11" t="s">
        <v>157</v>
      </c>
      <c r="R9" s="11" t="s">
        <v>158</v>
      </c>
      <c r="S9" s="11" t="s">
        <v>156</v>
      </c>
      <c r="T9" s="13" t="s">
        <v>6</v>
      </c>
      <c r="U9" s="11" t="s">
        <v>148</v>
      </c>
      <c r="V9" s="11" t="s">
        <v>6</v>
      </c>
      <c r="W9" s="11" t="s">
        <v>151</v>
      </c>
    </row>
    <row r="10" spans="1:25" x14ac:dyDescent="0.3">
      <c r="F10" s="11" t="s">
        <v>4</v>
      </c>
      <c r="G10" s="11"/>
      <c r="H10" s="11" t="s">
        <v>85</v>
      </c>
      <c r="Q10" s="11" t="s">
        <v>157</v>
      </c>
      <c r="R10" s="11" t="s">
        <v>158</v>
      </c>
      <c r="S10" s="11" t="s">
        <v>156</v>
      </c>
      <c r="T10" s="11" t="s">
        <v>4</v>
      </c>
      <c r="U10" s="11" t="s">
        <v>139</v>
      </c>
      <c r="V10" s="11" t="s">
        <v>78</v>
      </c>
      <c r="W10" s="11" t="s">
        <v>78</v>
      </c>
    </row>
    <row r="11" spans="1:25" x14ac:dyDescent="0.3">
      <c r="F11" s="11" t="s">
        <v>4</v>
      </c>
      <c r="G11" s="11"/>
      <c r="H11" s="11" t="s">
        <v>86</v>
      </c>
      <c r="Q11" s="11" t="s">
        <v>157</v>
      </c>
      <c r="R11" s="11" t="s">
        <v>158</v>
      </c>
      <c r="S11" s="11" t="s">
        <v>156</v>
      </c>
      <c r="T11" s="11" t="s">
        <v>4</v>
      </c>
      <c r="U11" s="11" t="s">
        <v>142</v>
      </c>
      <c r="V11" s="11" t="s">
        <v>84</v>
      </c>
      <c r="W11" s="11" t="s">
        <v>84</v>
      </c>
    </row>
    <row r="12" spans="1:25" x14ac:dyDescent="0.3">
      <c r="F12" s="11" t="s">
        <v>4</v>
      </c>
      <c r="G12" s="11"/>
      <c r="H12" s="11" t="s">
        <v>87</v>
      </c>
      <c r="Q12" s="11" t="s">
        <v>157</v>
      </c>
      <c r="R12" s="11" t="s">
        <v>158</v>
      </c>
      <c r="S12" s="11" t="s">
        <v>156</v>
      </c>
      <c r="T12" s="11" t="s">
        <v>4</v>
      </c>
      <c r="U12" s="11" t="s">
        <v>141</v>
      </c>
      <c r="V12" s="11" t="s">
        <v>85</v>
      </c>
      <c r="W12" s="11" t="s">
        <v>85</v>
      </c>
    </row>
    <row r="13" spans="1:25" x14ac:dyDescent="0.3">
      <c r="F13" s="11" t="s">
        <v>4</v>
      </c>
      <c r="G13" s="11"/>
      <c r="H13" s="11" t="s">
        <v>88</v>
      </c>
      <c r="Q13" s="11" t="s">
        <v>157</v>
      </c>
      <c r="R13" s="11" t="s">
        <v>158</v>
      </c>
      <c r="S13" s="11" t="s">
        <v>156</v>
      </c>
      <c r="T13" s="11" t="s">
        <v>4</v>
      </c>
      <c r="U13" s="11" t="s">
        <v>140</v>
      </c>
      <c r="V13" s="11" t="s">
        <v>86</v>
      </c>
      <c r="W13" s="11" t="s">
        <v>86</v>
      </c>
    </row>
    <row r="14" spans="1:25" x14ac:dyDescent="0.3">
      <c r="F14" s="11" t="s">
        <v>4</v>
      </c>
      <c r="G14" s="11"/>
      <c r="H14" s="11" t="s">
        <v>89</v>
      </c>
      <c r="Q14" s="11" t="s">
        <v>157</v>
      </c>
      <c r="R14" s="11" t="s">
        <v>158</v>
      </c>
      <c r="S14" s="11" t="s">
        <v>156</v>
      </c>
      <c r="T14" s="11" t="s">
        <v>129</v>
      </c>
      <c r="U14" s="11" t="s">
        <v>132</v>
      </c>
      <c r="V14" s="11" t="s">
        <v>129</v>
      </c>
      <c r="W14" s="11" t="s">
        <v>130</v>
      </c>
    </row>
    <row r="15" spans="1:25" x14ac:dyDescent="0.3">
      <c r="F15" s="11" t="s">
        <v>4</v>
      </c>
      <c r="G15" s="11"/>
      <c r="H15" s="11" t="s">
        <v>90</v>
      </c>
      <c r="Q15" s="11" t="s">
        <v>157</v>
      </c>
      <c r="R15" s="11" t="s">
        <v>158</v>
      </c>
      <c r="S15" s="11" t="s">
        <v>156</v>
      </c>
      <c r="T15" s="11" t="s">
        <v>129</v>
      </c>
      <c r="U15" s="11" t="s">
        <v>131</v>
      </c>
      <c r="V15" s="11" t="s">
        <v>129</v>
      </c>
      <c r="W15" s="11" t="s">
        <v>137</v>
      </c>
    </row>
    <row r="16" spans="1:25" x14ac:dyDescent="0.3">
      <c r="F16" s="11" t="s">
        <v>4</v>
      </c>
      <c r="G16" s="11"/>
      <c r="H16" s="11" t="s">
        <v>91</v>
      </c>
      <c r="Q16" s="11" t="s">
        <v>157</v>
      </c>
      <c r="R16" s="11" t="s">
        <v>158</v>
      </c>
      <c r="S16" s="11" t="s">
        <v>156</v>
      </c>
      <c r="T16" s="11" t="s">
        <v>4</v>
      </c>
      <c r="U16" s="11" t="s">
        <v>144</v>
      </c>
      <c r="V16" s="11" t="s">
        <v>94</v>
      </c>
      <c r="W16" s="11" t="s">
        <v>94</v>
      </c>
    </row>
    <row r="17" spans="6:24" x14ac:dyDescent="0.3">
      <c r="F17" s="11" t="s">
        <v>4</v>
      </c>
      <c r="G17" s="11"/>
      <c r="H17" s="11" t="s">
        <v>82</v>
      </c>
      <c r="Q17" s="11" t="s">
        <v>157</v>
      </c>
      <c r="R17" s="11" t="s">
        <v>158</v>
      </c>
      <c r="S17" s="11" t="s">
        <v>156</v>
      </c>
      <c r="T17" s="11" t="s">
        <v>4</v>
      </c>
      <c r="U17" s="11" t="s">
        <v>152</v>
      </c>
      <c r="V17" s="11" t="s">
        <v>153</v>
      </c>
      <c r="W17" s="11" t="s">
        <v>153</v>
      </c>
    </row>
    <row r="18" spans="6:24" x14ac:dyDescent="0.3">
      <c r="F18" s="11" t="s">
        <v>4</v>
      </c>
      <c r="G18" s="11"/>
      <c r="H18" s="11" t="s">
        <v>83</v>
      </c>
      <c r="Q18" s="11" t="s">
        <v>157</v>
      </c>
      <c r="R18" s="11" t="s">
        <v>158</v>
      </c>
      <c r="S18" s="11" t="s">
        <v>156</v>
      </c>
      <c r="T18" s="11" t="s">
        <v>4</v>
      </c>
      <c r="U18" s="11" t="s">
        <v>145</v>
      </c>
      <c r="V18" s="11" t="s">
        <v>93</v>
      </c>
      <c r="W18" s="11" t="s">
        <v>93</v>
      </c>
    </row>
    <row r="19" spans="6:24" x14ac:dyDescent="0.3">
      <c r="F19" s="11" t="s">
        <v>4</v>
      </c>
      <c r="G19" s="11" t="s">
        <v>79</v>
      </c>
      <c r="H19" s="11" t="s">
        <v>92</v>
      </c>
      <c r="Q19" s="11" t="s">
        <v>157</v>
      </c>
      <c r="R19" s="11" t="s">
        <v>158</v>
      </c>
      <c r="S19" s="11" t="s">
        <v>156</v>
      </c>
      <c r="T19" s="11" t="s">
        <v>4</v>
      </c>
      <c r="U19" s="11" t="s">
        <v>154</v>
      </c>
      <c r="V19" s="11" t="s">
        <v>155</v>
      </c>
      <c r="W19" s="11" t="s">
        <v>155</v>
      </c>
    </row>
    <row r="20" spans="6:24" x14ac:dyDescent="0.3">
      <c r="F20" s="11" t="s">
        <v>4</v>
      </c>
      <c r="G20" s="11" t="s">
        <v>79</v>
      </c>
      <c r="H20" s="11" t="s">
        <v>80</v>
      </c>
      <c r="Q20" s="11" t="s">
        <v>157</v>
      </c>
      <c r="R20" s="11" t="s">
        <v>158</v>
      </c>
      <c r="S20" s="11" t="s">
        <v>156</v>
      </c>
      <c r="T20" s="11" t="s">
        <v>4</v>
      </c>
      <c r="U20" s="11" t="s">
        <v>143</v>
      </c>
      <c r="V20" s="11" t="s">
        <v>95</v>
      </c>
      <c r="W20" s="11" t="s">
        <v>95</v>
      </c>
    </row>
    <row r="21" spans="6:24" x14ac:dyDescent="0.3">
      <c r="F21" s="11" t="s">
        <v>4</v>
      </c>
      <c r="G21" s="11" t="s">
        <v>79</v>
      </c>
      <c r="H21" s="11" t="s">
        <v>93</v>
      </c>
      <c r="Q21" s="11" t="s">
        <v>157</v>
      </c>
      <c r="R21" s="11" t="s">
        <v>158</v>
      </c>
      <c r="S21" s="11" t="s">
        <v>156</v>
      </c>
      <c r="T21" s="11" t="s">
        <v>129</v>
      </c>
      <c r="U21" s="11" t="s">
        <v>134</v>
      </c>
      <c r="V21" s="11" t="s">
        <v>129</v>
      </c>
      <c r="W21" s="11" t="s">
        <v>138</v>
      </c>
    </row>
    <row r="22" spans="6:24" x14ac:dyDescent="0.3">
      <c r="F22" s="11" t="s">
        <v>4</v>
      </c>
      <c r="G22" s="11" t="s">
        <v>79</v>
      </c>
      <c r="H22" s="11" t="s">
        <v>94</v>
      </c>
      <c r="Q22" s="11" t="s">
        <v>157</v>
      </c>
      <c r="R22" s="11" t="s">
        <v>158</v>
      </c>
      <c r="S22" s="11" t="s">
        <v>156</v>
      </c>
      <c r="T22" s="11" t="s">
        <v>129</v>
      </c>
      <c r="U22" s="11" t="s">
        <v>160</v>
      </c>
      <c r="V22" s="11" t="s">
        <v>129</v>
      </c>
      <c r="W22" s="11" t="s">
        <v>159</v>
      </c>
    </row>
    <row r="23" spans="6:24" x14ac:dyDescent="0.3">
      <c r="F23" s="11" t="s">
        <v>4</v>
      </c>
      <c r="G23" s="11"/>
      <c r="H23" s="11" t="s">
        <v>95</v>
      </c>
      <c r="Q23" s="19" t="s">
        <v>117</v>
      </c>
      <c r="R23" s="19" t="s">
        <v>162</v>
      </c>
      <c r="S23" s="19" t="s">
        <v>161</v>
      </c>
      <c r="T23" s="19" t="s">
        <v>5</v>
      </c>
      <c r="U23" s="19" t="s">
        <v>127</v>
      </c>
      <c r="V23" s="19" t="s">
        <v>92</v>
      </c>
      <c r="W23" s="19" t="s">
        <v>92</v>
      </c>
      <c r="X23" s="19"/>
    </row>
    <row r="24" spans="6:24" x14ac:dyDescent="0.3">
      <c r="F24" s="14" t="s">
        <v>5</v>
      </c>
      <c r="G24" s="14" t="s">
        <v>76</v>
      </c>
      <c r="H24" s="21" t="s">
        <v>92</v>
      </c>
      <c r="Q24" s="19" t="s">
        <v>117</v>
      </c>
      <c r="R24" s="19" t="s">
        <v>162</v>
      </c>
      <c r="S24" s="19" t="s">
        <v>161</v>
      </c>
      <c r="T24" s="19" t="s">
        <v>5</v>
      </c>
      <c r="U24" s="19" t="s">
        <v>149</v>
      </c>
      <c r="V24" s="19" t="s">
        <v>147</v>
      </c>
      <c r="W24" s="19" t="s">
        <v>147</v>
      </c>
      <c r="X24" s="19"/>
    </row>
    <row r="25" spans="6:24" x14ac:dyDescent="0.3">
      <c r="F25" s="14" t="s">
        <v>5</v>
      </c>
      <c r="G25" s="14"/>
      <c r="H25" s="21" t="s">
        <v>96</v>
      </c>
      <c r="Q25" s="19" t="s">
        <v>117</v>
      </c>
      <c r="R25" s="19" t="s">
        <v>162</v>
      </c>
      <c r="S25" s="19" t="s">
        <v>161</v>
      </c>
      <c r="T25" s="19" t="s">
        <v>5</v>
      </c>
      <c r="U25" s="19" t="s">
        <v>150</v>
      </c>
      <c r="V25" s="19" t="s">
        <v>146</v>
      </c>
      <c r="W25" s="19" t="s">
        <v>146</v>
      </c>
      <c r="X25" s="19"/>
    </row>
    <row r="26" spans="6:24" x14ac:dyDescent="0.3">
      <c r="F26" s="14" t="s">
        <v>5</v>
      </c>
      <c r="G26" s="14"/>
      <c r="H26" s="21" t="s">
        <v>97</v>
      </c>
      <c r="Q26" s="19" t="s">
        <v>117</v>
      </c>
      <c r="R26" s="19" t="s">
        <v>162</v>
      </c>
      <c r="S26" s="19" t="s">
        <v>161</v>
      </c>
      <c r="T26" s="19" t="s">
        <v>129</v>
      </c>
      <c r="U26" s="19" t="s">
        <v>128</v>
      </c>
      <c r="V26" s="19" t="s">
        <v>129</v>
      </c>
      <c r="W26" s="19" t="s">
        <v>136</v>
      </c>
      <c r="X26" s="19"/>
    </row>
    <row r="27" spans="6:24" x14ac:dyDescent="0.3">
      <c r="F27" s="14" t="s">
        <v>5</v>
      </c>
      <c r="G27" s="14"/>
      <c r="H27" s="21" t="s">
        <v>98</v>
      </c>
      <c r="Q27" s="19" t="s">
        <v>117</v>
      </c>
      <c r="R27" s="19" t="s">
        <v>162</v>
      </c>
      <c r="S27" s="19" t="s">
        <v>161</v>
      </c>
      <c r="T27" s="19" t="s">
        <v>129</v>
      </c>
      <c r="U27" s="19" t="s">
        <v>163</v>
      </c>
      <c r="V27" s="19" t="s">
        <v>129</v>
      </c>
      <c r="W27" s="19" t="s">
        <v>175</v>
      </c>
      <c r="X27" s="19" t="s">
        <v>165</v>
      </c>
    </row>
    <row r="28" spans="6:24" x14ac:dyDescent="0.3">
      <c r="F28" s="14" t="s">
        <v>5</v>
      </c>
      <c r="G28" s="14"/>
      <c r="H28" s="21" t="s">
        <v>99</v>
      </c>
      <c r="Q28" s="11" t="s">
        <v>129</v>
      </c>
      <c r="R28" s="11" t="s">
        <v>129</v>
      </c>
      <c r="S28" s="11" t="s">
        <v>171</v>
      </c>
      <c r="T28" s="11" t="s">
        <v>129</v>
      </c>
      <c r="U28" s="11" t="s">
        <v>177</v>
      </c>
      <c r="V28" s="11" t="s">
        <v>77</v>
      </c>
      <c r="W28" s="11" t="s">
        <v>77</v>
      </c>
    </row>
    <row r="29" spans="6:24" x14ac:dyDescent="0.3">
      <c r="F29" s="14" t="s">
        <v>5</v>
      </c>
      <c r="G29" s="14"/>
      <c r="H29" s="14" t="s">
        <v>82</v>
      </c>
      <c r="Q29" s="11" t="s">
        <v>129</v>
      </c>
      <c r="R29" s="11" t="s">
        <v>129</v>
      </c>
      <c r="S29" s="11" t="s">
        <v>171</v>
      </c>
      <c r="T29" s="11" t="s">
        <v>129</v>
      </c>
      <c r="U29" s="11" t="s">
        <v>178</v>
      </c>
      <c r="V29" s="11" t="s">
        <v>185</v>
      </c>
      <c r="W29" s="11" t="s">
        <v>185</v>
      </c>
    </row>
    <row r="30" spans="6:24" x14ac:dyDescent="0.3">
      <c r="F30" s="14" t="s">
        <v>5</v>
      </c>
      <c r="G30" s="14"/>
      <c r="H30" s="14" t="s">
        <v>83</v>
      </c>
      <c r="Q30" s="11" t="s">
        <v>129</v>
      </c>
      <c r="R30" s="11" t="s">
        <v>129</v>
      </c>
      <c r="S30" s="11" t="s">
        <v>171</v>
      </c>
      <c r="T30" s="11" t="s">
        <v>129</v>
      </c>
      <c r="U30" s="11" t="s">
        <v>179</v>
      </c>
      <c r="V30" s="11" t="s">
        <v>108</v>
      </c>
      <c r="W30" s="11" t="s">
        <v>108</v>
      </c>
    </row>
    <row r="31" spans="6:24" x14ac:dyDescent="0.3">
      <c r="F31" s="14" t="s">
        <v>5</v>
      </c>
      <c r="G31" s="14" t="s">
        <v>79</v>
      </c>
      <c r="H31" s="14" t="s">
        <v>80</v>
      </c>
      <c r="Q31" s="11" t="s">
        <v>129</v>
      </c>
      <c r="R31" s="11" t="s">
        <v>129</v>
      </c>
      <c r="S31" s="11" t="s">
        <v>171</v>
      </c>
      <c r="T31" s="11" t="s">
        <v>129</v>
      </c>
      <c r="U31" s="11" t="s">
        <v>180</v>
      </c>
      <c r="V31" s="11" t="s">
        <v>109</v>
      </c>
      <c r="W31" s="11" t="s">
        <v>109</v>
      </c>
    </row>
    <row r="32" spans="6:24" x14ac:dyDescent="0.3">
      <c r="F32" s="14" t="s">
        <v>5</v>
      </c>
      <c r="G32" s="14" t="s">
        <v>79</v>
      </c>
      <c r="H32" s="14" t="s">
        <v>100</v>
      </c>
      <c r="Q32" s="11" t="s">
        <v>129</v>
      </c>
      <c r="R32" s="11" t="s">
        <v>129</v>
      </c>
      <c r="S32" s="11" t="s">
        <v>171</v>
      </c>
      <c r="T32" s="11" t="s">
        <v>129</v>
      </c>
      <c r="U32" s="11" t="s">
        <v>181</v>
      </c>
      <c r="V32" s="11" t="s">
        <v>110</v>
      </c>
      <c r="W32" s="11" t="s">
        <v>110</v>
      </c>
    </row>
    <row r="33" spans="6:24" x14ac:dyDescent="0.3">
      <c r="F33" s="11" t="s">
        <v>6</v>
      </c>
      <c r="G33" s="11" t="s">
        <v>76</v>
      </c>
      <c r="H33" s="8" t="s">
        <v>100</v>
      </c>
      <c r="Q33" s="11" t="s">
        <v>129</v>
      </c>
      <c r="R33" s="11" t="s">
        <v>129</v>
      </c>
      <c r="S33" s="11" t="s">
        <v>171</v>
      </c>
      <c r="T33" s="11" t="s">
        <v>129</v>
      </c>
      <c r="U33" s="11" t="s">
        <v>182</v>
      </c>
      <c r="V33" s="11" t="s">
        <v>81</v>
      </c>
      <c r="W33" s="11" t="s">
        <v>81</v>
      </c>
    </row>
    <row r="34" spans="6:24" x14ac:dyDescent="0.3">
      <c r="F34" s="11" t="s">
        <v>6</v>
      </c>
      <c r="G34" s="11"/>
      <c r="H34" s="8" t="s">
        <v>101</v>
      </c>
      <c r="Q34" s="11" t="s">
        <v>129</v>
      </c>
      <c r="R34" s="11" t="s">
        <v>129</v>
      </c>
      <c r="S34" s="11" t="s">
        <v>171</v>
      </c>
      <c r="T34" s="11" t="s">
        <v>129</v>
      </c>
      <c r="U34" s="11" t="s">
        <v>183</v>
      </c>
      <c r="V34" s="11" t="s">
        <v>111</v>
      </c>
      <c r="W34" s="11" t="s">
        <v>111</v>
      </c>
    </row>
    <row r="35" spans="6:24" x14ac:dyDescent="0.3">
      <c r="F35" s="11" t="s">
        <v>6</v>
      </c>
      <c r="G35" s="11"/>
      <c r="H35" s="8" t="s">
        <v>102</v>
      </c>
      <c r="Q35" s="11" t="s">
        <v>129</v>
      </c>
      <c r="R35" s="11" t="s">
        <v>129</v>
      </c>
      <c r="S35" s="11" t="s">
        <v>171</v>
      </c>
      <c r="T35" s="11" t="s">
        <v>129</v>
      </c>
      <c r="U35" s="11" t="s">
        <v>184</v>
      </c>
      <c r="V35" s="11" t="s">
        <v>186</v>
      </c>
      <c r="W35" s="11" t="s">
        <v>186</v>
      </c>
    </row>
    <row r="36" spans="6:24" x14ac:dyDescent="0.3">
      <c r="F36" s="11" t="s">
        <v>6</v>
      </c>
      <c r="G36" s="11"/>
      <c r="H36" s="11" t="s">
        <v>82</v>
      </c>
      <c r="Q36" s="19" t="s">
        <v>129</v>
      </c>
      <c r="R36" s="19" t="s">
        <v>129</v>
      </c>
      <c r="S36" s="19" t="s">
        <v>176</v>
      </c>
      <c r="T36" s="19" t="s">
        <v>129</v>
      </c>
      <c r="U36" s="19" t="s">
        <v>187</v>
      </c>
      <c r="V36" s="19" t="s">
        <v>104</v>
      </c>
      <c r="W36" s="19" t="s">
        <v>104</v>
      </c>
      <c r="X36" s="19"/>
    </row>
    <row r="37" spans="6:24" x14ac:dyDescent="0.3">
      <c r="F37" s="11" t="s">
        <v>6</v>
      </c>
      <c r="G37" s="11"/>
      <c r="H37" s="11" t="s">
        <v>83</v>
      </c>
      <c r="Q37" s="19" t="s">
        <v>129</v>
      </c>
      <c r="R37" s="19" t="s">
        <v>129</v>
      </c>
      <c r="S37" s="19" t="s">
        <v>176</v>
      </c>
      <c r="T37" s="19" t="s">
        <v>129</v>
      </c>
      <c r="U37" s="19" t="s">
        <v>188</v>
      </c>
      <c r="V37" s="19" t="s">
        <v>190</v>
      </c>
      <c r="W37" s="19" t="s">
        <v>190</v>
      </c>
      <c r="X37" s="19"/>
    </row>
    <row r="38" spans="6:24" x14ac:dyDescent="0.3">
      <c r="F38" s="11" t="s">
        <v>6</v>
      </c>
      <c r="G38" s="11" t="s">
        <v>79</v>
      </c>
      <c r="H38" s="11" t="s">
        <v>80</v>
      </c>
      <c r="Q38" s="19" t="s">
        <v>129</v>
      </c>
      <c r="R38" s="19" t="s">
        <v>129</v>
      </c>
      <c r="S38" s="19" t="s">
        <v>176</v>
      </c>
      <c r="T38" s="19" t="s">
        <v>129</v>
      </c>
      <c r="U38" s="19" t="s">
        <v>189</v>
      </c>
      <c r="V38" s="19" t="s">
        <v>105</v>
      </c>
      <c r="W38" s="19" t="s">
        <v>105</v>
      </c>
      <c r="X38" s="19"/>
    </row>
    <row r="39" spans="6:24" x14ac:dyDescent="0.3">
      <c r="F39" s="14" t="s">
        <v>7</v>
      </c>
      <c r="G39" s="14" t="s">
        <v>76</v>
      </c>
      <c r="H39" s="14" t="s">
        <v>103</v>
      </c>
      <c r="Q39" s="11" t="s">
        <v>117</v>
      </c>
      <c r="R39" s="11" t="s">
        <v>166</v>
      </c>
      <c r="S39" s="11" t="s">
        <v>167</v>
      </c>
      <c r="T39" s="11" t="s">
        <v>4</v>
      </c>
      <c r="U39" s="11" t="s">
        <v>139</v>
      </c>
      <c r="V39" s="11" t="s">
        <v>78</v>
      </c>
      <c r="W39" s="11" t="s">
        <v>78</v>
      </c>
    </row>
    <row r="40" spans="6:24" x14ac:dyDescent="0.3">
      <c r="F40" s="14" t="s">
        <v>7</v>
      </c>
      <c r="G40" s="14" t="s">
        <v>76</v>
      </c>
      <c r="H40" s="14" t="s">
        <v>78</v>
      </c>
      <c r="Q40" s="11" t="s">
        <v>117</v>
      </c>
      <c r="R40" s="11" t="s">
        <v>166</v>
      </c>
      <c r="S40" s="11" t="s">
        <v>167</v>
      </c>
      <c r="T40" s="11" t="s">
        <v>4</v>
      </c>
      <c r="U40" s="11" t="s">
        <v>142</v>
      </c>
      <c r="V40" s="11" t="s">
        <v>84</v>
      </c>
      <c r="W40" s="11" t="s">
        <v>84</v>
      </c>
    </row>
    <row r="41" spans="6:24" x14ac:dyDescent="0.3">
      <c r="F41" s="14" t="s">
        <v>7</v>
      </c>
      <c r="G41" s="14"/>
      <c r="H41" s="14" t="s">
        <v>82</v>
      </c>
      <c r="Q41" s="11" t="s">
        <v>117</v>
      </c>
      <c r="R41" s="11" t="s">
        <v>166</v>
      </c>
      <c r="S41" s="11" t="s">
        <v>167</v>
      </c>
      <c r="T41" s="11" t="s">
        <v>4</v>
      </c>
      <c r="U41" s="11" t="s">
        <v>141</v>
      </c>
      <c r="V41" s="11" t="s">
        <v>85</v>
      </c>
      <c r="W41" s="11" t="s">
        <v>85</v>
      </c>
    </row>
    <row r="42" spans="6:24" x14ac:dyDescent="0.3">
      <c r="F42" s="14" t="s">
        <v>7</v>
      </c>
      <c r="G42" s="14"/>
      <c r="H42" s="14" t="s">
        <v>83</v>
      </c>
      <c r="Q42" s="11" t="s">
        <v>117</v>
      </c>
      <c r="R42" s="11" t="s">
        <v>166</v>
      </c>
      <c r="S42" s="11" t="s">
        <v>167</v>
      </c>
      <c r="T42" s="11" t="s">
        <v>4</v>
      </c>
      <c r="U42" s="11" t="s">
        <v>168</v>
      </c>
      <c r="V42" s="11" t="s">
        <v>129</v>
      </c>
      <c r="W42" s="11" t="s">
        <v>173</v>
      </c>
      <c r="X42" s="11" t="s">
        <v>170</v>
      </c>
    </row>
    <row r="43" spans="6:24" x14ac:dyDescent="0.3">
      <c r="F43" s="14" t="s">
        <v>7</v>
      </c>
      <c r="G43" s="14" t="s">
        <v>79</v>
      </c>
      <c r="H43" s="14" t="s">
        <v>80</v>
      </c>
      <c r="Q43" s="11" t="s">
        <v>117</v>
      </c>
      <c r="R43" s="11" t="s">
        <v>166</v>
      </c>
      <c r="S43" s="11" t="s">
        <v>167</v>
      </c>
      <c r="T43" s="11" t="s">
        <v>4</v>
      </c>
      <c r="U43" s="11" t="s">
        <v>169</v>
      </c>
      <c r="V43" s="11" t="s">
        <v>129</v>
      </c>
      <c r="W43" s="11" t="s">
        <v>174</v>
      </c>
      <c r="X43" s="11" t="s">
        <v>172</v>
      </c>
    </row>
    <row r="44" spans="6:24" x14ac:dyDescent="0.3">
      <c r="F44" s="11" t="s">
        <v>11</v>
      </c>
      <c r="G44" s="11" t="s">
        <v>76</v>
      </c>
      <c r="H44" s="11" t="s">
        <v>78</v>
      </c>
      <c r="Q44" s="23" t="s">
        <v>117</v>
      </c>
      <c r="R44" s="23" t="s">
        <v>122</v>
      </c>
      <c r="S44" s="23" t="s">
        <v>191</v>
      </c>
      <c r="T44" s="23" t="s">
        <v>6</v>
      </c>
      <c r="U44" s="23" t="s">
        <v>126</v>
      </c>
      <c r="V44" s="23" t="s">
        <v>100</v>
      </c>
      <c r="W44" s="23" t="s">
        <v>100</v>
      </c>
      <c r="X44" s="23"/>
    </row>
    <row r="45" spans="6:24" x14ac:dyDescent="0.3">
      <c r="F45" s="11" t="s">
        <v>11</v>
      </c>
      <c r="G45" s="11" t="s">
        <v>76</v>
      </c>
      <c r="H45" s="11" t="s">
        <v>104</v>
      </c>
      <c r="Q45" s="23" t="s">
        <v>117</v>
      </c>
      <c r="R45" s="23" t="s">
        <v>122</v>
      </c>
      <c r="S45" s="23" t="s">
        <v>191</v>
      </c>
      <c r="T45" s="23" t="s">
        <v>6</v>
      </c>
      <c r="U45" s="23" t="s">
        <v>148</v>
      </c>
      <c r="V45" s="23" t="s">
        <v>6</v>
      </c>
      <c r="W45" s="23" t="s">
        <v>151</v>
      </c>
      <c r="X45" s="23"/>
    </row>
    <row r="46" spans="6:24" x14ac:dyDescent="0.3">
      <c r="F46" s="11" t="s">
        <v>11</v>
      </c>
      <c r="G46" s="11" t="s">
        <v>79</v>
      </c>
      <c r="H46" s="11" t="s">
        <v>80</v>
      </c>
    </row>
    <row r="47" spans="6:24" x14ac:dyDescent="0.3">
      <c r="F47" s="11" t="s">
        <v>11</v>
      </c>
      <c r="G47" s="11"/>
      <c r="H47" s="11" t="s">
        <v>105</v>
      </c>
    </row>
    <row r="48" spans="6:24" x14ac:dyDescent="0.3">
      <c r="F48" s="11" t="s">
        <v>11</v>
      </c>
      <c r="G48" s="11"/>
      <c r="H48" s="11" t="s">
        <v>82</v>
      </c>
    </row>
    <row r="49" spans="6:8" x14ac:dyDescent="0.3">
      <c r="F49" s="11" t="s">
        <v>11</v>
      </c>
      <c r="G49" s="11"/>
      <c r="H49" s="11" t="s">
        <v>83</v>
      </c>
    </row>
    <row r="50" spans="6:8" x14ac:dyDescent="0.3">
      <c r="F50" s="14" t="s">
        <v>9</v>
      </c>
      <c r="G50" s="14" t="s">
        <v>76</v>
      </c>
      <c r="H50" s="14" t="s">
        <v>77</v>
      </c>
    </row>
    <row r="51" spans="6:8" x14ac:dyDescent="0.3">
      <c r="F51" s="14" t="s">
        <v>9</v>
      </c>
      <c r="G51" s="14"/>
      <c r="H51" s="14" t="s">
        <v>106</v>
      </c>
    </row>
    <row r="52" spans="6:8" x14ac:dyDescent="0.3">
      <c r="F52" s="14" t="s">
        <v>9</v>
      </c>
      <c r="G52" s="14"/>
      <c r="H52" s="14" t="s">
        <v>107</v>
      </c>
    </row>
    <row r="53" spans="6:8" x14ac:dyDescent="0.3">
      <c r="F53" s="14" t="s">
        <v>9</v>
      </c>
      <c r="G53" s="14"/>
      <c r="H53" s="14" t="s">
        <v>108</v>
      </c>
    </row>
    <row r="54" spans="6:8" x14ac:dyDescent="0.3">
      <c r="F54" s="14" t="s">
        <v>9</v>
      </c>
      <c r="G54" s="14"/>
      <c r="H54" s="14" t="s">
        <v>109</v>
      </c>
    </row>
    <row r="55" spans="6:8" x14ac:dyDescent="0.3">
      <c r="F55" s="14" t="s">
        <v>9</v>
      </c>
      <c r="G55" s="14"/>
      <c r="H55" s="14" t="s">
        <v>110</v>
      </c>
    </row>
    <row r="56" spans="6:8" x14ac:dyDescent="0.3">
      <c r="F56" s="14" t="s">
        <v>9</v>
      </c>
      <c r="G56" s="14"/>
      <c r="H56" s="14" t="s">
        <v>82</v>
      </c>
    </row>
    <row r="57" spans="6:8" x14ac:dyDescent="0.3">
      <c r="F57" s="14" t="s">
        <v>9</v>
      </c>
      <c r="G57" s="14"/>
      <c r="H57" s="14" t="s">
        <v>83</v>
      </c>
    </row>
    <row r="58" spans="6:8" x14ac:dyDescent="0.3">
      <c r="F58" s="14" t="s">
        <v>9</v>
      </c>
      <c r="G58" s="14" t="s">
        <v>79</v>
      </c>
      <c r="H58" s="14" t="s">
        <v>111</v>
      </c>
    </row>
    <row r="59" spans="6:8" x14ac:dyDescent="0.3">
      <c r="F59" s="14" t="s">
        <v>9</v>
      </c>
      <c r="G59" s="14" t="s">
        <v>79</v>
      </c>
      <c r="H59" s="14" t="s">
        <v>80</v>
      </c>
    </row>
    <row r="60" spans="6:8" x14ac:dyDescent="0.3">
      <c r="F60" s="11" t="s">
        <v>10</v>
      </c>
      <c r="G60" s="11" t="s">
        <v>76</v>
      </c>
      <c r="H60" s="11" t="s">
        <v>111</v>
      </c>
    </row>
    <row r="61" spans="6:8" x14ac:dyDescent="0.3">
      <c r="F61" s="11" t="s">
        <v>10</v>
      </c>
      <c r="G61" s="11"/>
      <c r="H61" s="11" t="s">
        <v>112</v>
      </c>
    </row>
    <row r="62" spans="6:8" x14ac:dyDescent="0.3">
      <c r="F62" s="11" t="s">
        <v>10</v>
      </c>
      <c r="G62" s="11"/>
      <c r="H62" s="11" t="s">
        <v>113</v>
      </c>
    </row>
    <row r="63" spans="6:8" x14ac:dyDescent="0.3">
      <c r="F63" s="11" t="s">
        <v>10</v>
      </c>
      <c r="G63" s="11"/>
      <c r="H63" s="11" t="s">
        <v>82</v>
      </c>
    </row>
    <row r="64" spans="6:8" x14ac:dyDescent="0.3">
      <c r="F64" s="11" t="s">
        <v>10</v>
      </c>
      <c r="G64" s="11"/>
      <c r="H64" s="11" t="s">
        <v>83</v>
      </c>
    </row>
    <row r="65" spans="6:8" x14ac:dyDescent="0.3">
      <c r="F65" s="11" t="s">
        <v>10</v>
      </c>
      <c r="G65" s="11" t="s">
        <v>79</v>
      </c>
      <c r="H65" s="11" t="s">
        <v>80</v>
      </c>
    </row>
  </sheetData>
  <pageMargins left="0.7" right="0.7" top="0.75" bottom="0.75" header="0.3" footer="0.3"/>
  <pageSetup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Index</vt:lpstr>
      <vt:lpstr>Sheet1</vt:lpstr>
      <vt:lpstr>FormulaPlant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jjoy</dc:creator>
  <cp:lastModifiedBy>jjoy</cp:lastModifiedBy>
  <dcterms:created xsi:type="dcterms:W3CDTF">2021-07-17T14:11:56Z</dcterms:created>
  <dcterms:modified xsi:type="dcterms:W3CDTF">2021-07-27T17:35:23Z</dcterms:modified>
</cp:coreProperties>
</file>