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/>
  <workbookPr defaultThemeVersion="166925"/>
  <mc:AlternateContent xmlns:mc="http://schemas.openxmlformats.org/markup-compatibility/2006">
    <mc:Choice Requires="x15">
      <x15ac:absPath xmlns:x15ac="http://schemas.microsoft.com/office/spreadsheetml/2010/11/ac" url="E:\LN-GO\LN-BackEND\"/>
    </mc:Choice>
  </mc:AlternateContent>
  <xr:revisionPtr revIDLastSave="0" documentId="13_ncr:1_{E8022522-E62F-4C86-BF93-93F2B6B5C7EC}" xr6:coauthVersionLast="47" xr6:coauthVersionMax="47" xr10:uidLastSave="{00000000-0000-0000-0000-000000000000}"/>
  <bookViews>
    <workbookView xWindow="-108" yWindow="-108" windowWidth="23256" windowHeight="12576" activeTab="3" xr2:uid="{3D884203-E3D3-4C0E-A5AC-B0B3F9C4831E}"/>
  </bookViews>
  <sheets>
    <sheet name="Index" sheetId="2" r:id="rId1"/>
    <sheet name="Sheet1" sheetId="3" r:id="rId2"/>
    <sheet name="FormulaPlant" sheetId="1" r:id="rId3"/>
    <sheet name="Dashboard" sheetId="5" r:id="rId4"/>
    <sheet name="exam" sheetId="6" r:id="rId5"/>
  </sheets>
  <definedNames>
    <definedName name="_xlnm._FilterDatabase" localSheetId="0" hidden="1">Index!$A$1:$N$41</definedName>
    <definedName name="SheetName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6" l="1"/>
  <c r="C8" i="6"/>
  <c r="C7" i="6"/>
  <c r="C6" i="6"/>
  <c r="C5" i="6"/>
  <c r="C4" i="6"/>
  <c r="C3" i="6"/>
  <c r="C2" i="6"/>
  <c r="C9" i="5"/>
  <c r="C8" i="5"/>
  <c r="C7" i="5"/>
  <c r="C6" i="5"/>
  <c r="C5" i="5"/>
  <c r="C4" i="5"/>
  <c r="C3" i="5"/>
  <c r="C2" i="5"/>
  <c r="C16" i="3" l="1"/>
  <c r="C10" i="3"/>
  <c r="C11" i="3"/>
  <c r="C12" i="3"/>
  <c r="C13" i="3"/>
  <c r="C14" i="3"/>
  <c r="C15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9" i="3" l="1"/>
  <c r="C8" i="3"/>
  <c r="C7" i="3"/>
  <c r="C6" i="3"/>
  <c r="C5" i="3"/>
  <c r="C4" i="3"/>
  <c r="C3" i="3"/>
  <c r="C2" i="3"/>
  <c r="C3" i="1"/>
  <c r="C4" i="1"/>
  <c r="C5" i="1"/>
  <c r="C6" i="1"/>
  <c r="C7" i="1"/>
  <c r="C8" i="1"/>
  <c r="C9" i="1"/>
  <c r="C2" i="1"/>
  <c r="A36" i="2" a="1"/>
  <c r="A28" i="2" a="1"/>
  <c r="A13" i="2" a="1"/>
  <c r="A38" i="2" a="1"/>
  <c r="A10" i="2" a="1"/>
  <c r="A31" i="2" a="1"/>
  <c r="A37" i="2" a="1"/>
  <c r="A15" i="2" a="1"/>
  <c r="A29" i="2" a="1"/>
  <c r="A21" i="2" a="1"/>
  <c r="A7" i="2" a="1"/>
  <c r="A20" i="2" a="1"/>
  <c r="A3" i="2" a="1"/>
  <c r="A9" i="2" a="1"/>
  <c r="A22" i="2" a="1"/>
  <c r="A33" i="2" a="1"/>
  <c r="A32" i="2" a="1"/>
  <c r="A2" i="2" a="1"/>
  <c r="A27" i="2" a="1"/>
  <c r="A6" i="2" a="1"/>
  <c r="A4" i="2" a="1"/>
  <c r="A26" i="2" a="1"/>
  <c r="A39" i="2" a="1"/>
  <c r="A23" i="2" a="1"/>
  <c r="A11" i="2" a="1"/>
  <c r="A17" i="2" a="1"/>
  <c r="A30" i="2" a="1"/>
  <c r="A41" i="2" a="1"/>
  <c r="A40" i="2" a="1"/>
  <c r="A34" i="2" a="1"/>
  <c r="A35" i="2" a="1"/>
  <c r="A14" i="2" a="1"/>
  <c r="A12" i="2" a="1"/>
  <c r="A5" i="2" a="1"/>
  <c r="A19" i="2" a="1"/>
  <c r="A25" i="2" a="1"/>
  <c r="A24" i="2" a="1"/>
  <c r="A18" i="2" a="1"/>
  <c r="A8" i="2" a="1"/>
  <c r="A16" i="2" a="1"/>
  <c r="A26" i="2" l="1"/>
  <c r="C26" i="2" s="1"/>
  <c r="A2" i="2"/>
  <c r="C2" i="2" s="1"/>
  <c r="A9" i="2"/>
  <c r="C9" i="2" s="1"/>
  <c r="A21" i="2"/>
  <c r="C21" i="2" s="1"/>
  <c r="A24" i="2"/>
  <c r="C24" i="2" s="1"/>
  <c r="A5" i="2"/>
  <c r="C5" i="2" s="1"/>
  <c r="A34" i="2"/>
  <c r="C34" i="2" s="1"/>
  <c r="A17" i="2"/>
  <c r="C17" i="2" s="1"/>
  <c r="A4" i="2"/>
  <c r="C4" i="2" s="1"/>
  <c r="A32" i="2"/>
  <c r="C32" i="2" s="1"/>
  <c r="A3" i="2"/>
  <c r="C3" i="2" s="1"/>
  <c r="A29" i="2"/>
  <c r="C29" i="2" s="1"/>
  <c r="A25" i="2"/>
  <c r="C25" i="2" s="1"/>
  <c r="A12" i="2"/>
  <c r="C12" i="2" s="1"/>
  <c r="A40" i="2"/>
  <c r="C40" i="2" s="1"/>
  <c r="A11" i="2"/>
  <c r="C11" i="2" s="1"/>
  <c r="A6" i="2"/>
  <c r="C6" i="2" s="1"/>
  <c r="A33" i="2"/>
  <c r="C33" i="2" s="1"/>
  <c r="A20" i="2"/>
  <c r="C20" i="2" s="1"/>
  <c r="A15" i="2"/>
  <c r="C15" i="2" s="1"/>
  <c r="A19" i="2"/>
  <c r="C19" i="2" s="1"/>
  <c r="A14" i="2"/>
  <c r="C14" i="2" s="1"/>
  <c r="A41" i="2"/>
  <c r="C41" i="2" s="1"/>
  <c r="A23" i="2"/>
  <c r="C23" i="2" s="1"/>
  <c r="A27" i="2"/>
  <c r="C27" i="2" s="1"/>
  <c r="A22" i="2"/>
  <c r="C22" i="2" s="1"/>
  <c r="A7" i="2"/>
  <c r="C7" i="2" s="1"/>
  <c r="A37" i="2"/>
  <c r="C37" i="2" s="1"/>
  <c r="A10" i="2"/>
  <c r="C10" i="2" s="1"/>
  <c r="A35" i="2"/>
  <c r="C35" i="2" s="1"/>
  <c r="A30" i="2"/>
  <c r="C30" i="2" s="1"/>
  <c r="A39" i="2"/>
  <c r="C39" i="2" s="1"/>
  <c r="A16" i="2"/>
  <c r="C16" i="2" s="1"/>
  <c r="A8" i="2"/>
  <c r="C8" i="2" s="1"/>
  <c r="A18" i="2"/>
  <c r="C18" i="2" s="1"/>
  <c r="A31" i="2"/>
  <c r="C31" i="2" s="1"/>
  <c r="A38" i="2"/>
  <c r="C38" i="2" s="1"/>
  <c r="A13" i="2"/>
  <c r="C13" i="2" s="1"/>
  <c r="A28" i="2"/>
  <c r="C28" i="2" s="1"/>
  <c r="A36" i="2"/>
  <c r="C3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<sst xmlns="http://schemas.openxmlformats.org/spreadsheetml/2006/main" count="808" uniqueCount="212">
  <si>
    <t>Page</t>
  </si>
  <si>
    <t>Index</t>
  </si>
  <si>
    <t>Link</t>
  </si>
  <si>
    <t>Table Relate</t>
  </si>
  <si>
    <t>formula_plant</t>
  </si>
  <si>
    <t>plant</t>
  </si>
  <si>
    <t>plant_type</t>
  </si>
  <si>
    <t>favorite_plant</t>
  </si>
  <si>
    <t>trans_fertilizer_ratio</t>
  </si>
  <si>
    <t>fertilizer</t>
  </si>
  <si>
    <t>fertilizer_cat</t>
  </si>
  <si>
    <t>trans_sensor_value_rec</t>
  </si>
  <si>
    <t>model_</t>
  </si>
  <si>
    <t>.go</t>
  </si>
  <si>
    <t>model_formula_plant.go</t>
  </si>
  <si>
    <t>model_plant.go</t>
  </si>
  <si>
    <t>model_plant_type.go</t>
  </si>
  <si>
    <t>model_favorite_plant.go</t>
  </si>
  <si>
    <t>model_trans_fertilizer_ratio.go</t>
  </si>
  <si>
    <t>model_fertilizer.go</t>
  </si>
  <si>
    <t>model_fertilizer_cat.go</t>
  </si>
  <si>
    <t>model_trans_sensor_value_rec.go</t>
  </si>
  <si>
    <t>address_farm</t>
  </si>
  <si>
    <t>address_user</t>
  </si>
  <si>
    <t>country</t>
  </si>
  <si>
    <t>district</t>
  </si>
  <si>
    <t>farm</t>
  </si>
  <si>
    <t>farm_area</t>
  </si>
  <si>
    <t>indicate_type</t>
  </si>
  <si>
    <t>mainbox</t>
  </si>
  <si>
    <t>province</t>
  </si>
  <si>
    <t>role</t>
  </si>
  <si>
    <t>schedule</t>
  </si>
  <si>
    <t>sensor</t>
  </si>
  <si>
    <t>sensor_type</t>
  </si>
  <si>
    <t>session_action</t>
  </si>
  <si>
    <t>session_time</t>
  </si>
  <si>
    <t>socket</t>
  </si>
  <si>
    <t>status</t>
  </si>
  <si>
    <t>sub_district</t>
  </si>
  <si>
    <t>trans_management</t>
  </si>
  <si>
    <t>trans_schedule_farm</t>
  </si>
  <si>
    <t>trans_socket_area</t>
  </si>
  <si>
    <t>users</t>
  </si>
  <si>
    <t>platform</t>
  </si>
  <si>
    <t>gender</t>
  </si>
  <si>
    <t>frequency_type</t>
  </si>
  <si>
    <t>status_sensor</t>
  </si>
  <si>
    <t>model_address_farm.go</t>
  </si>
  <si>
    <t>model_address_user.go</t>
  </si>
  <si>
    <t>model_country.go</t>
  </si>
  <si>
    <t>model_district.go</t>
  </si>
  <si>
    <t>model_farm.go</t>
  </si>
  <si>
    <t>model_farm_area.go</t>
  </si>
  <si>
    <t>model_indicate_type.go</t>
  </si>
  <si>
    <t>model_mainbox.go</t>
  </si>
  <si>
    <t>model_province.go</t>
  </si>
  <si>
    <t>model_role.go</t>
  </si>
  <si>
    <t>model_schedule.go</t>
  </si>
  <si>
    <t>model_sensor.go</t>
  </si>
  <si>
    <t>model_sensor_type.go</t>
  </si>
  <si>
    <t>model_session_action.go</t>
  </si>
  <si>
    <t>model_session_time.go</t>
  </si>
  <si>
    <t>model_socket.go</t>
  </si>
  <si>
    <t>model_status.go</t>
  </si>
  <si>
    <t>model_sub_district.go</t>
  </si>
  <si>
    <t>model_trans_management.go</t>
  </si>
  <si>
    <t>model_trans_schedule_farm.go</t>
  </si>
  <si>
    <t>model_trans_socket_area.go</t>
  </si>
  <si>
    <t>model_users.go</t>
  </si>
  <si>
    <t>model_platform.go</t>
  </si>
  <si>
    <t>model_gender.go</t>
  </si>
  <si>
    <t>model_frequency_type.go</t>
  </si>
  <si>
    <t>model_status_sensor.go</t>
  </si>
  <si>
    <t>socket_action</t>
  </si>
  <si>
    <t>model_socket_action.go</t>
  </si>
  <si>
    <t>PK</t>
  </si>
  <si>
    <t>fertilizer_id</t>
  </si>
  <si>
    <t>formula_plant_id</t>
  </si>
  <si>
    <t>FK</t>
  </si>
  <si>
    <t>status_id</t>
  </si>
  <si>
    <t>ratio</t>
  </si>
  <si>
    <t>create_date</t>
  </si>
  <si>
    <t>change_date</t>
  </si>
  <si>
    <t>formula_name</t>
  </si>
  <si>
    <t>formula_desc</t>
  </si>
  <si>
    <t>people_used</t>
  </si>
  <si>
    <t>recommend1</t>
  </si>
  <si>
    <t>recommend2</t>
  </si>
  <si>
    <t>recommend3</t>
  </si>
  <si>
    <t>recommend4</t>
  </si>
  <si>
    <t>recommend5</t>
  </si>
  <si>
    <t>plant_id</t>
  </si>
  <si>
    <t>province_id</t>
  </si>
  <si>
    <t>country_id</t>
  </si>
  <si>
    <t>is_public</t>
  </si>
  <si>
    <t>plant_name_en</t>
  </si>
  <si>
    <t>plant_name_th</t>
  </si>
  <si>
    <t>plant_desc_en</t>
  </si>
  <si>
    <t>plant_desc_th</t>
  </si>
  <si>
    <t>plant_type_id</t>
  </si>
  <si>
    <t>plant_type_en</t>
  </si>
  <si>
    <t>plant_type_th</t>
  </si>
  <si>
    <t>uid</t>
  </si>
  <si>
    <t>sensor_type_id</t>
  </si>
  <si>
    <t>value_rec</t>
  </si>
  <si>
    <t>fertilizer_en</t>
  </si>
  <si>
    <t>fertilizer_th</t>
  </si>
  <si>
    <t>nitrogen</t>
  </si>
  <si>
    <t>phosphorus</t>
  </si>
  <si>
    <t>potassium</t>
  </si>
  <si>
    <t>fertilizer_cat_id</t>
  </si>
  <si>
    <t>fertilizer_cat_en</t>
  </si>
  <si>
    <t>fertilizer_cat_th</t>
  </si>
  <si>
    <t>Table _name</t>
  </si>
  <si>
    <t>Key</t>
  </si>
  <si>
    <t>Field</t>
  </si>
  <si>
    <t>Button</t>
  </si>
  <si>
    <t>ForPlantCat</t>
  </si>
  <si>
    <t>Component</t>
  </si>
  <si>
    <t>Name</t>
  </si>
  <si>
    <t>Model</t>
  </si>
  <si>
    <t>Catagory</t>
  </si>
  <si>
    <t>ส่งทีละ 100</t>
  </si>
  <si>
    <t>Field on DB</t>
  </si>
  <si>
    <t>Field golang</t>
  </si>
  <si>
    <t>PlantTypeId</t>
  </si>
  <si>
    <t>PlantId</t>
  </si>
  <si>
    <t>TotalItem</t>
  </si>
  <si>
    <t>N/A</t>
  </si>
  <si>
    <t>rate_score</t>
  </si>
  <si>
    <t>RatePeople</t>
  </si>
  <si>
    <t>RateScore</t>
  </si>
  <si>
    <t>DB name</t>
  </si>
  <si>
    <t>IsPlanted</t>
  </si>
  <si>
    <t>JSON</t>
  </si>
  <si>
    <t>total_item</t>
  </si>
  <si>
    <t>rate_people</t>
  </si>
  <si>
    <t>is_planted</t>
  </si>
  <si>
    <t>FormulaPlantId</t>
  </si>
  <si>
    <t>PeopleUsed</t>
  </si>
  <si>
    <t>FormulaDesc</t>
  </si>
  <si>
    <t>FormulaName</t>
  </si>
  <si>
    <t>IsPublic</t>
  </si>
  <si>
    <t>CountryId</t>
  </si>
  <si>
    <t>ProvinceId</t>
  </si>
  <si>
    <t>plant_desc</t>
  </si>
  <si>
    <t>plant_name</t>
  </si>
  <si>
    <t>PlantTypeName</t>
  </si>
  <si>
    <t>PlantName</t>
  </si>
  <si>
    <t>PlantDesc</t>
  </si>
  <si>
    <t>plant_type_name</t>
  </si>
  <si>
    <t>CountryName</t>
  </si>
  <si>
    <t>country_name</t>
  </si>
  <si>
    <t>ProvinceName</t>
  </si>
  <si>
    <t>province_name</t>
  </si>
  <si>
    <t>ForPlantItem</t>
  </si>
  <si>
    <t>Card</t>
  </si>
  <si>
    <t>Item</t>
  </si>
  <si>
    <t>is_favorite</t>
  </si>
  <si>
    <t>IsFavorite</t>
  </si>
  <si>
    <t>ForPlantCatItem</t>
  </si>
  <si>
    <t>Select this category</t>
  </si>
  <si>
    <t>PlantCatItem</t>
  </si>
  <si>
    <t>Type</t>
  </si>
  <si>
    <t>ForPlantItem[]</t>
  </si>
  <si>
    <t>Add view edit formulars</t>
  </si>
  <si>
    <t>ForPlantFormula</t>
  </si>
  <si>
    <t>SensorList</t>
  </si>
  <si>
    <t>FertList</t>
  </si>
  <si>
    <t>ForPlantSensor[]</t>
  </si>
  <si>
    <t>ForPlantFert</t>
  </si>
  <si>
    <t>ForPlantFert[]</t>
  </si>
  <si>
    <t>sensor_list</t>
  </si>
  <si>
    <t>fert_list</t>
  </si>
  <si>
    <t>plant_cat_item</t>
  </si>
  <si>
    <t>ForPlantSensor</t>
  </si>
  <si>
    <t>FertilizerId</t>
  </si>
  <si>
    <t>FertilizerName</t>
  </si>
  <si>
    <t>Nitrogen</t>
  </si>
  <si>
    <t>Phosphorus</t>
  </si>
  <si>
    <t>Potassium</t>
  </si>
  <si>
    <t>Ratio</t>
  </si>
  <si>
    <t>FertCatId</t>
  </si>
  <si>
    <t>FertCatName</t>
  </si>
  <si>
    <t>fertilizer_name</t>
  </si>
  <si>
    <t>fertilizer_cat_name</t>
  </si>
  <si>
    <t>SensorTypeId</t>
  </si>
  <si>
    <t>SensorTypeName</t>
  </si>
  <si>
    <t>ValueRec</t>
  </si>
  <si>
    <t>sensor_type_name</t>
  </si>
  <si>
    <t>ForPlantCatList</t>
  </si>
  <si>
    <t>Uid</t>
  </si>
  <si>
    <t>Username</t>
  </si>
  <si>
    <t>username</t>
  </si>
  <si>
    <t>farm_id</t>
  </si>
  <si>
    <t>role_id</t>
  </si>
  <si>
    <t>farm_name</t>
  </si>
  <si>
    <t>farm_desc</t>
  </si>
  <si>
    <t>farm_area_id</t>
  </si>
  <si>
    <t>farm_area_name</t>
  </si>
  <si>
    <t>schedule_id</t>
  </si>
  <si>
    <t>Dropdown</t>
  </si>
  <si>
    <t>FarmList</t>
  </si>
  <si>
    <t>FarmId</t>
  </si>
  <si>
    <t>FarmName</t>
  </si>
  <si>
    <t>FarmDesc</t>
  </si>
  <si>
    <t>FarmAreaList</t>
  </si>
  <si>
    <t>DashboardFarmList</t>
  </si>
  <si>
    <t>DashboardFarmAreaList</t>
  </si>
  <si>
    <t>FarmAreaId</t>
  </si>
  <si>
    <t>FarmAreaName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</si>
</sst>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2">
    <xf numFmtId="0" fontId="0" fillId="0" borderId="0" xfId="0"/>
    <xf numFmtId="0" fontId="0" fillId="2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2" fillId="5" borderId="1" xfId="0" applyFont="1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3" fillId="0" borderId="3" xfId="1" applyBorder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vertical="center"/>
    </xf>
    <xf numFmtId="0" fontId="2" fillId="0" borderId="0" xfId="0" applyFont="1"/>
    <xf numFmtId="0" fontId="0" fillId="0" borderId="1" xfId="0" applyBorder="1"/>
    <xf numFmtId="0" fontId="0" fillId="5" borderId="1" xfId="0" applyFill="1" applyBorder="1"/>
    <xf numFmtId="0" fontId="0" fillId="0" borderId="1" xfId="0" applyFill="1" applyBorder="1"/>
    <xf numFmtId="0" fontId="0" fillId="3" borderId="1" xfId="0" applyFill="1" applyBorder="1"/>
    <xf numFmtId="0" fontId="0" fillId="6" borderId="1" xfId="0" applyFill="1" applyBorder="1" applyAlignment="1">
      <alignment horizontal="center" vertical="top"/>
    </xf>
    <xf numFmtId="0" fontId="0" fillId="7" borderId="1" xfId="0" applyFill="1" applyBorder="1" applyAlignment="1">
      <alignment horizontal="center" vertical="top"/>
    </xf>
    <xf numFmtId="0" fontId="0" fillId="7" borderId="1" xfId="0" applyFill="1" applyBorder="1"/>
    <xf numFmtId="0" fontId="0" fillId="6" borderId="1" xfId="0" applyFill="1" applyBorder="1"/>
    <xf numFmtId="0" fontId="0" fillId="8" borderId="1" xfId="0" applyFill="1" applyBorder="1"/>
    <xf numFmtId="0" fontId="0" fillId="0" borderId="3" xfId="0" applyFill="1" applyBorder="1"/>
    <xf numFmtId="0" fontId="1" fillId="3" borderId="1" xfId="0" applyFont="1" applyFill="1" applyBorder="1"/>
    <xf numFmtId="0" fontId="0" fillId="7" borderId="1" xfId="0" applyFill="1" applyBorder="1" applyAlignment="1">
      <alignment horizontal="center"/>
    </xf>
    <xf numFmtId="0" fontId="1" fillId="8" borderId="1" xfId="0" applyFont="1" applyFill="1" applyBorder="1"/>
    <xf numFmtId="0" fontId="1" fillId="0" borderId="1" xfId="0" applyFont="1" applyFill="1" applyBorder="1"/>
    <xf numFmtId="0" fontId="2" fillId="7" borderId="1" xfId="0" applyFont="1" applyFill="1" applyBorder="1"/>
    <xf numFmtId="0" fontId="2" fillId="6" borderId="1" xfId="0" applyFont="1" applyFill="1" applyBorder="1"/>
    <xf numFmtId="0" fontId="2" fillId="7" borderId="1" xfId="0" applyFont="1" applyFill="1" applyBorder="1" applyAlignment="1">
      <alignment horizontal="center"/>
    </xf>
    <xf numFmtId="0" fontId="2" fillId="8" borderId="1" xfId="0" applyFont="1" applyFill="1" applyBorder="1"/>
    <xf numFmtId="0" fontId="2" fillId="0" borderId="1" xfId="0" applyFont="1" applyBorder="1"/>
    <xf numFmtId="0" fontId="2" fillId="0" borderId="1" xfId="0" applyFont="1" applyFill="1" applyBorder="1"/>
    <xf numFmtId="0" fontId="0" fillId="0" borderId="0" xfId="0" applyFill="1"/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175260</xdr:colOff>
      <xdr:row>1</xdr:row>
      <xdr:rowOff>68580</xdr:rowOff>
    </xdr:from>
    <xdr:to>
      <xdr:col>15</xdr:col>
      <xdr:colOff>445789</xdr:colOff>
      <xdr:row>23</xdr:row>
      <xdr:rowOff>151424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4FFD931-C4AE-40BC-9120-C89922A61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7680" y="251460"/>
          <a:ext cx="4652029" cy="4106204"/>
        </a:xfrm>
        <a:prstGeom prst="rect">
          <a:avLst/>
        </a:prstGeom>
      </xdr:spPr>
    </xdr:pic>
    <xdr:clientData/>
  </xdr:twoCellAnchor>
  <xdr:twoCellAnchor editAs="oneCell">
    <xdr:from>
      <xdr:col>8</xdr:col>
      <xdr:colOff>152400</xdr:colOff>
      <xdr:row>24</xdr:row>
      <xdr:rowOff>167640</xdr:rowOff>
    </xdr:from>
    <xdr:to>
      <xdr:col>15</xdr:col>
      <xdr:colOff>398323</xdr:colOff>
      <xdr:row>42</xdr:row>
      <xdr:rowOff>67918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314D59A-AC4B-46A3-B9A9-D1F3D3D64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74820" y="4556760"/>
          <a:ext cx="4627423" cy="3192118"/>
        </a:xfrm>
        <a:prstGeom prst="rect">
          <a:avLst/>
        </a:prstGeom>
      </xdr:spPr>
    </xdr:pic>
    <xdr:clientData/>
  </xdr:twoCellAnchor>
  <xdr:twoCellAnchor editAs="oneCell">
    <xdr:from>
      <xdr:col>8</xdr:col>
      <xdr:colOff>114300</xdr:colOff>
      <xdr:row>42</xdr:row>
      <xdr:rowOff>144780</xdr:rowOff>
    </xdr:from>
    <xdr:to>
      <xdr:col>15</xdr:col>
      <xdr:colOff>396240</xdr:colOff>
      <xdr:row>61</xdr:row>
      <xdr:rowOff>39771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6EDAD33-B628-4A75-8D58-3E42B92E1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36720" y="7825740"/>
          <a:ext cx="4663440" cy="33697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69271</xdr:colOff>
      <xdr:row>0</xdr:row>
      <xdr:rowOff>96982</xdr:rowOff>
    </xdr:from>
    <xdr:to>
      <xdr:col>15</xdr:col>
      <xdr:colOff>522261</xdr:colOff>
      <xdr:row>18</xdr:row>
      <xdr:rowOff>27709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D55DE3F-55A7-4316-BC0B-D93FDD489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90697" y="96982"/>
          <a:ext cx="4832834" cy="3270275"/>
        </a:xfrm>
        <a:prstGeom prst="rect">
          <a:avLst/>
        </a:prstGeom>
      </xdr:spPr>
    </xdr:pic>
    <xdr:clientData/>
  </xdr:twoCellAnchor>
  <xdr:twoCellAnchor editAs="oneCell">
    <xdr:from>
      <xdr:col>8</xdr:col>
      <xdr:colOff>69273</xdr:colOff>
      <xdr:row>19</xdr:row>
      <xdr:rowOff>83128</xdr:rowOff>
    </xdr:from>
    <xdr:to>
      <xdr:col>15</xdr:col>
      <xdr:colOff>484909</xdr:colOff>
      <xdr:row>32</xdr:row>
      <xdr:rowOff>19891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C30C38F-391E-4E13-AFD3-D562BB53FD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97928" y="3505201"/>
          <a:ext cx="4793672" cy="22781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916A9-52AF-4D1E-9229-3E2D2A1DA5B3}">
  <sheetPr codeName="Sheet1"/>
  <dimension ref="A1:N41"/>
  <sheetViews>
    <sheetView workbookViewId="0">
      <selection activeCell="A2" sqref="A2"/>
    </sheetView>
  </sheetViews>
  <sheetFormatPr defaultRowHeight="14.4" x14ac:dyDescent="0.3"/>
  <cols>
    <col min="1" max="1" width="19" style="5" customWidth="1"/>
    <col min="2" max="2" width="6" style="6" customWidth="1"/>
    <col min="3" max="3" width="8" style="6" customWidth="1"/>
    <col min="6" max="6" width="20.5546875" style="10" bestFit="1" customWidth="1"/>
    <col min="13" max="13" width="10.77734375" style="11" customWidth="1"/>
    <col min="14" max="14" width="11" style="11" bestFit="1" customWidth="1"/>
  </cols>
  <sheetData>
    <row r="1" spans="1:6" x14ac:dyDescent="0.3">
      <c r="A1" s="1" t="s">
        <v>0</v>
      </c>
      <c r="B1" s="2" t="s">
        <v>1</v>
      </c>
      <c r="C1" s="3" t="s">
        <v>2</v>
      </c>
      <c r="F1" s="4"/>
    </row>
    <row r="2" spans="1:6" x14ac:dyDescent="0.3">
      <c r="A2" s="5" t="str" cm="1">
        <f t="array" ref="A2">IFERROR(INDEX(SheetNames,B2),"")</f>
        <v>Sheet1</v>
      </c>
      <c r="B2" s="6">
        <v>2</v>
      </c>
      <c r="C2" s="7" t="str">
        <f>IFERROR(HYPERLINK("#'"&amp;A2&amp;"'!A1","Link"),"")</f>
        <v>Link</v>
      </c>
      <c r="F2" s="8"/>
    </row>
    <row r="3" spans="1:6" x14ac:dyDescent="0.3">
      <c r="A3" s="5" t="str" cm="1">
        <f t="array" ref="A3">IFERROR(INDEX(SheetNames,B3),"")</f>
        <v>FormulaPlant</v>
      </c>
      <c r="B3" s="6">
        <v>3</v>
      </c>
      <c r="C3" s="7" t="str">
        <f t="shared" ref="C3:C41" si="0">IFERROR(HYPERLINK("#'"&amp;A3&amp;"'!A1","Link"),"")</f>
        <v>Link</v>
      </c>
      <c r="F3" s="8"/>
    </row>
    <row r="4" spans="1:6" x14ac:dyDescent="0.3">
      <c r="A4" s="5" t="str" cm="1">
        <f t="array" ref="A4">IFERROR(INDEX(SheetNames,B4),"")</f>
        <v>Dashboard</v>
      </c>
      <c r="B4" s="6">
        <v>4</v>
      </c>
      <c r="C4" s="7" t="str">
        <f t="shared" si="0"/>
        <v>Link</v>
      </c>
      <c r="F4" s="9"/>
    </row>
    <row r="5" spans="1:6" x14ac:dyDescent="0.3">
      <c r="A5" s="5" t="str" cm="1">
        <f t="array" ref="A5">IFERROR(INDEX(SheetNames,B5),"")</f>
        <v>Dashboard (2)</v>
      </c>
      <c r="B5" s="6">
        <v>5</v>
      </c>
      <c r="C5" s="7" t="str">
        <f t="shared" si="0"/>
        <v>Link</v>
      </c>
      <c r="F5" s="9"/>
    </row>
    <row r="6" spans="1:6" x14ac:dyDescent="0.3">
      <c r="A6" s="5" t="str" cm="1">
        <f t="array" ref="A6">IFERROR(INDEX(SheetNames,B6),"")</f>
        <v/>
      </c>
      <c r="B6" s="6">
        <v>6</v>
      </c>
      <c r="C6" s="7" t="str">
        <f t="shared" si="0"/>
        <v>Link</v>
      </c>
      <c r="F6" s="9"/>
    </row>
    <row r="7" spans="1:6" x14ac:dyDescent="0.3">
      <c r="A7" s="5" t="str" cm="1">
        <f t="array" ref="A7">IFERROR(INDEX(SheetNames,B7),"")</f>
        <v/>
      </c>
      <c r="B7" s="6">
        <v>7</v>
      </c>
      <c r="C7" s="7" t="str">
        <f t="shared" si="0"/>
        <v>Link</v>
      </c>
      <c r="F7" s="9"/>
    </row>
    <row r="8" spans="1:6" x14ac:dyDescent="0.3">
      <c r="A8" s="5" t="str" cm="1">
        <f t="array" ref="A8">IFERROR(INDEX(SheetNames,B8),"")</f>
        <v/>
      </c>
      <c r="B8" s="6">
        <v>8</v>
      </c>
      <c r="C8" s="7" t="str">
        <f t="shared" si="0"/>
        <v>Link</v>
      </c>
      <c r="F8" s="9"/>
    </row>
    <row r="9" spans="1:6" x14ac:dyDescent="0.3">
      <c r="A9" s="5" t="str" cm="1">
        <f t="array" ref="A9">IFERROR(INDEX(SheetNames,B9),"")</f>
        <v/>
      </c>
      <c r="B9" s="6">
        <v>9</v>
      </c>
      <c r="C9" s="7" t="str">
        <f t="shared" si="0"/>
        <v>Link</v>
      </c>
      <c r="F9" s="8"/>
    </row>
    <row r="10" spans="1:6" x14ac:dyDescent="0.3">
      <c r="A10" s="5" t="str" cm="1">
        <f t="array" ref="A10">IFERROR(INDEX(SheetNames,B10),"")</f>
        <v/>
      </c>
      <c r="B10" s="6">
        <v>10</v>
      </c>
      <c r="C10" s="7" t="str">
        <f t="shared" si="0"/>
        <v>Link</v>
      </c>
      <c r="F10" s="9"/>
    </row>
    <row r="11" spans="1:6" x14ac:dyDescent="0.3">
      <c r="A11" s="5" t="str" cm="1">
        <f t="array" ref="A11">IFERROR(INDEX(SheetNames,B11),"")</f>
        <v/>
      </c>
      <c r="B11" s="6">
        <v>11</v>
      </c>
      <c r="C11" s="7" t="str">
        <f t="shared" si="0"/>
        <v>Link</v>
      </c>
      <c r="F11" s="9"/>
    </row>
    <row r="12" spans="1:6" x14ac:dyDescent="0.3">
      <c r="A12" s="5" t="str" cm="1">
        <f t="array" ref="A12">IFERROR(INDEX(SheetNames,B12),"")</f>
        <v/>
      </c>
      <c r="B12" s="6">
        <v>12</v>
      </c>
      <c r="C12" s="7" t="str">
        <f t="shared" si="0"/>
        <v>Link</v>
      </c>
      <c r="F12" s="9"/>
    </row>
    <row r="13" spans="1:6" x14ac:dyDescent="0.3">
      <c r="A13" s="5" t="str" cm="1">
        <f t="array" ref="A13">IFERROR(INDEX(SheetNames,B13),"")</f>
        <v/>
      </c>
      <c r="B13" s="6">
        <v>13</v>
      </c>
      <c r="C13" s="7" t="str">
        <f t="shared" si="0"/>
        <v>Link</v>
      </c>
      <c r="F13" s="9"/>
    </row>
    <row r="14" spans="1:6" x14ac:dyDescent="0.3">
      <c r="A14" s="5" t="str" cm="1">
        <f t="array" ref="A14">IFERROR(INDEX(SheetNames,B14),"")</f>
        <v/>
      </c>
      <c r="B14" s="6">
        <v>14</v>
      </c>
      <c r="C14" s="7" t="str">
        <f t="shared" si="0"/>
        <v>Link</v>
      </c>
      <c r="F14" s="9"/>
    </row>
    <row r="15" spans="1:6" x14ac:dyDescent="0.3">
      <c r="A15" s="5" t="str" cm="1">
        <f t="array" ref="A15">IFERROR(INDEX(SheetNames,B15),"")</f>
        <v/>
      </c>
      <c r="B15" s="6">
        <v>15</v>
      </c>
      <c r="C15" s="7" t="str">
        <f t="shared" si="0"/>
        <v>Link</v>
      </c>
      <c r="F15" s="9"/>
    </row>
    <row r="16" spans="1:6" x14ac:dyDescent="0.3">
      <c r="A16" s="5" t="str" cm="1">
        <f t="array" ref="A16">IFERROR(INDEX(SheetNames,B16),"")</f>
        <v/>
      </c>
      <c r="B16" s="6">
        <v>16</v>
      </c>
      <c r="C16" s="7" t="str">
        <f t="shared" si="0"/>
        <v>Link</v>
      </c>
      <c r="F16" s="9"/>
    </row>
    <row r="17" spans="1:6" x14ac:dyDescent="0.3">
      <c r="A17" s="5" t="str" cm="1">
        <f t="array" ref="A17">IFERROR(INDEX(SheetNames,B17),"")</f>
        <v/>
      </c>
      <c r="B17" s="6">
        <v>17</v>
      </c>
      <c r="C17" s="7" t="str">
        <f t="shared" si="0"/>
        <v>Link</v>
      </c>
      <c r="F17" s="9"/>
    </row>
    <row r="18" spans="1:6" x14ac:dyDescent="0.3">
      <c r="A18" s="5" t="str" cm="1">
        <f t="array" ref="A18">IFERROR(INDEX(SheetNames,B18),"")</f>
        <v/>
      </c>
      <c r="B18" s="6">
        <v>18</v>
      </c>
      <c r="C18" s="7" t="str">
        <f t="shared" si="0"/>
        <v>Link</v>
      </c>
      <c r="F18" s="9"/>
    </row>
    <row r="19" spans="1:6" x14ac:dyDescent="0.3">
      <c r="A19" s="5" t="str" cm="1">
        <f t="array" ref="A19">IFERROR(INDEX(SheetNames,B19),"")</f>
        <v/>
      </c>
      <c r="B19" s="6">
        <v>19</v>
      </c>
      <c r="C19" s="7" t="str">
        <f t="shared" si="0"/>
        <v>Link</v>
      </c>
      <c r="F19" s="9"/>
    </row>
    <row r="20" spans="1:6" x14ac:dyDescent="0.3">
      <c r="A20" s="5" t="str" cm="1">
        <f t="array" ref="A20">IFERROR(INDEX(SheetNames,B20),"")</f>
        <v/>
      </c>
      <c r="B20" s="6">
        <v>20</v>
      </c>
      <c r="C20" s="7" t="str">
        <f t="shared" si="0"/>
        <v>Link</v>
      </c>
      <c r="F20" s="9"/>
    </row>
    <row r="21" spans="1:6" x14ac:dyDescent="0.3">
      <c r="A21" s="5" t="str" cm="1">
        <f t="array" ref="A21">IFERROR(INDEX(SheetNames,B21),"")</f>
        <v/>
      </c>
      <c r="B21" s="6">
        <v>21</v>
      </c>
      <c r="C21" s="7" t="str">
        <f t="shared" si="0"/>
        <v>Link</v>
      </c>
      <c r="F21" s="9"/>
    </row>
    <row r="22" spans="1:6" x14ac:dyDescent="0.3">
      <c r="A22" s="5" t="str" cm="1">
        <f t="array" ref="A22">IFERROR(INDEX(SheetNames,B22),"")</f>
        <v/>
      </c>
      <c r="B22" s="6">
        <v>22</v>
      </c>
      <c r="C22" s="7" t="str">
        <f t="shared" si="0"/>
        <v>Link</v>
      </c>
      <c r="F22" s="9"/>
    </row>
    <row r="23" spans="1:6" x14ac:dyDescent="0.3">
      <c r="A23" s="5" t="str" cm="1">
        <f t="array" ref="A23">IFERROR(INDEX(SheetNames,B23),"")</f>
        <v/>
      </c>
      <c r="B23" s="6">
        <v>23</v>
      </c>
      <c r="C23" s="7" t="str">
        <f t="shared" si="0"/>
        <v>Link</v>
      </c>
      <c r="F23" s="9"/>
    </row>
    <row r="24" spans="1:6" x14ac:dyDescent="0.3">
      <c r="A24" s="5" t="str" cm="1">
        <f t="array" ref="A24">IFERROR(INDEX(SheetNames,B24),"")</f>
        <v/>
      </c>
      <c r="B24" s="6">
        <v>24</v>
      </c>
      <c r="C24" s="7" t="str">
        <f t="shared" si="0"/>
        <v>Link</v>
      </c>
      <c r="F24" s="9"/>
    </row>
    <row r="25" spans="1:6" x14ac:dyDescent="0.3">
      <c r="A25" s="5" t="str" cm="1">
        <f t="array" ref="A25">IFERROR(INDEX(SheetNames,B25),"")</f>
        <v/>
      </c>
      <c r="B25" s="6">
        <v>25</v>
      </c>
      <c r="C25" s="7" t="str">
        <f t="shared" si="0"/>
        <v>Link</v>
      </c>
      <c r="F25" s="9"/>
    </row>
    <row r="26" spans="1:6" x14ac:dyDescent="0.3">
      <c r="A26" s="5" t="str" cm="1">
        <f t="array" ref="A26">IFERROR(INDEX(SheetNames,B26),"")</f>
        <v/>
      </c>
      <c r="B26" s="6">
        <v>26</v>
      </c>
      <c r="C26" s="7" t="str">
        <f t="shared" si="0"/>
        <v>Link</v>
      </c>
      <c r="F26" s="9"/>
    </row>
    <row r="27" spans="1:6" x14ac:dyDescent="0.3">
      <c r="A27" s="5" t="str" cm="1">
        <f t="array" ref="A27">IFERROR(INDEX(SheetNames,B27),"")</f>
        <v/>
      </c>
      <c r="B27" s="6">
        <v>27</v>
      </c>
      <c r="C27" s="7" t="str">
        <f t="shared" si="0"/>
        <v>Link</v>
      </c>
      <c r="F27" s="9"/>
    </row>
    <row r="28" spans="1:6" x14ac:dyDescent="0.3">
      <c r="A28" s="5" t="str" cm="1">
        <f t="array" ref="A28">IFERROR(INDEX(SheetNames,B28),"")</f>
        <v/>
      </c>
      <c r="B28" s="6">
        <v>28</v>
      </c>
      <c r="C28" s="7" t="str">
        <f t="shared" si="0"/>
        <v>Link</v>
      </c>
      <c r="F28" s="9"/>
    </row>
    <row r="29" spans="1:6" x14ac:dyDescent="0.3">
      <c r="A29" s="5" t="str" cm="1">
        <f t="array" ref="A29">IFERROR(INDEX(SheetNames,B29),"")</f>
        <v/>
      </c>
      <c r="B29" s="6">
        <v>29</v>
      </c>
      <c r="C29" s="7" t="str">
        <f t="shared" si="0"/>
        <v>Link</v>
      </c>
      <c r="F29" s="9"/>
    </row>
    <row r="30" spans="1:6" x14ac:dyDescent="0.3">
      <c r="A30" s="5" t="str" cm="1">
        <f t="array" ref="A30">IFERROR(INDEX(SheetNames,B30),"")</f>
        <v/>
      </c>
      <c r="B30" s="6">
        <v>30</v>
      </c>
      <c r="C30" s="7" t="str">
        <f t="shared" si="0"/>
        <v>Link</v>
      </c>
      <c r="F30" s="9"/>
    </row>
    <row r="31" spans="1:6" x14ac:dyDescent="0.3">
      <c r="A31" s="5" t="str" cm="1">
        <f t="array" ref="A31">IFERROR(INDEX(SheetNames,B31),"")</f>
        <v/>
      </c>
      <c r="B31" s="6">
        <v>31</v>
      </c>
      <c r="C31" s="7" t="str">
        <f t="shared" si="0"/>
        <v>Link</v>
      </c>
      <c r="F31" s="9"/>
    </row>
    <row r="32" spans="1:6" x14ac:dyDescent="0.3">
      <c r="A32" s="5" t="str" cm="1">
        <f t="array" ref="A32">IFERROR(INDEX(SheetNames,B32),"")</f>
        <v/>
      </c>
      <c r="B32" s="6">
        <v>32</v>
      </c>
      <c r="C32" s="7" t="str">
        <f t="shared" si="0"/>
        <v>Link</v>
      </c>
      <c r="F32" s="9"/>
    </row>
    <row r="33" spans="1:6" x14ac:dyDescent="0.3">
      <c r="A33" s="5" t="str" cm="1">
        <f t="array" ref="A33">IFERROR(INDEX(SheetNames,B33),"")</f>
        <v/>
      </c>
      <c r="B33" s="6">
        <v>33</v>
      </c>
      <c r="C33" s="7" t="str">
        <f t="shared" si="0"/>
        <v>Link</v>
      </c>
      <c r="F33" s="9"/>
    </row>
    <row r="34" spans="1:6" x14ac:dyDescent="0.3">
      <c r="A34" s="5" t="str" cm="1">
        <f t="array" ref="A34">IFERROR(INDEX(SheetNames,B34),"")</f>
        <v/>
      </c>
      <c r="B34" s="6">
        <v>34</v>
      </c>
      <c r="C34" s="7" t="str">
        <f t="shared" si="0"/>
        <v>Link</v>
      </c>
      <c r="F34" s="9"/>
    </row>
    <row r="35" spans="1:6" x14ac:dyDescent="0.3">
      <c r="A35" s="5" t="str" cm="1">
        <f t="array" ref="A35">IFERROR(INDEX(SheetNames,B35),"")</f>
        <v/>
      </c>
      <c r="B35" s="6">
        <v>35</v>
      </c>
      <c r="C35" s="7" t="str">
        <f t="shared" si="0"/>
        <v>Link</v>
      </c>
    </row>
    <row r="36" spans="1:6" x14ac:dyDescent="0.3">
      <c r="A36" s="5" t="str" cm="1">
        <f t="array" ref="A36">IFERROR(INDEX(SheetNames,B36),"")</f>
        <v/>
      </c>
      <c r="B36" s="6">
        <v>36</v>
      </c>
      <c r="C36" s="7" t="str">
        <f t="shared" si="0"/>
        <v>Link</v>
      </c>
    </row>
    <row r="37" spans="1:6" x14ac:dyDescent="0.3">
      <c r="A37" s="5" t="str" cm="1">
        <f t="array" ref="A37">IFERROR(INDEX(SheetNames,B37),"")</f>
        <v/>
      </c>
      <c r="B37" s="6">
        <v>37</v>
      </c>
      <c r="C37" s="7" t="str">
        <f t="shared" si="0"/>
        <v>Link</v>
      </c>
    </row>
    <row r="38" spans="1:6" x14ac:dyDescent="0.3">
      <c r="A38" s="5" t="str" cm="1">
        <f t="array" ref="A38">IFERROR(INDEX(SheetNames,B38),"")</f>
        <v/>
      </c>
      <c r="B38" s="6">
        <v>38</v>
      </c>
      <c r="C38" s="7" t="str">
        <f t="shared" si="0"/>
        <v>Link</v>
      </c>
    </row>
    <row r="39" spans="1:6" x14ac:dyDescent="0.3">
      <c r="A39" s="5" t="str" cm="1">
        <f t="array" ref="A39">IFERROR(INDEX(SheetNames,B39),"")</f>
        <v/>
      </c>
      <c r="B39" s="6">
        <v>39</v>
      </c>
      <c r="C39" s="7" t="str">
        <f t="shared" si="0"/>
        <v>Link</v>
      </c>
    </row>
    <row r="40" spans="1:6" x14ac:dyDescent="0.3">
      <c r="A40" s="5" t="str" cm="1">
        <f t="array" ref="A40">IFERROR(INDEX(SheetNames,B40),"")</f>
        <v/>
      </c>
      <c r="B40" s="6">
        <v>40</v>
      </c>
      <c r="C40" s="7" t="str">
        <f t="shared" si="0"/>
        <v>Link</v>
      </c>
    </row>
    <row r="41" spans="1:6" x14ac:dyDescent="0.3">
      <c r="A41" s="5" t="str" cm="1">
        <f t="array" ref="A41">IFERROR(INDEX(SheetNames,B41),"")</f>
        <v/>
      </c>
      <c r="B41" s="6">
        <v>41</v>
      </c>
      <c r="C41" s="7" t="str">
        <f t="shared" si="0"/>
        <v>Link</v>
      </c>
    </row>
  </sheetData>
  <autoFilter ref="A1:N41" xr:uid="{6048978E-6D07-449B-B45D-BA96943D86A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E6E04-45EE-44F1-937E-A9D188424E5C}">
  <dimension ref="A1:D36"/>
  <sheetViews>
    <sheetView workbookViewId="0">
      <selection activeCell="G18" sqref="G18"/>
    </sheetView>
  </sheetViews>
  <sheetFormatPr defaultRowHeight="14.4" x14ac:dyDescent="0.3"/>
  <cols>
    <col min="1" max="1" width="20.5546875" bestFit="1" customWidth="1"/>
    <col min="3" max="3" width="29.5546875" hidden="1" customWidth="1"/>
    <col min="4" max="4" width="29.5546875" bestFit="1" customWidth="1"/>
    <col min="7" max="8" width="20.5546875" bestFit="1" customWidth="1"/>
  </cols>
  <sheetData>
    <row r="1" spans="1:4" x14ac:dyDescent="0.3">
      <c r="A1" s="12" t="s">
        <v>3</v>
      </c>
      <c r="C1" t="s">
        <v>12</v>
      </c>
      <c r="D1" t="s">
        <v>13</v>
      </c>
    </row>
    <row r="2" spans="1:4" x14ac:dyDescent="0.3">
      <c r="A2" s="14" t="s">
        <v>4</v>
      </c>
      <c r="C2" t="str">
        <f>_xlfn.CONCAT($C$1,A2,$D$1)</f>
        <v>model_formula_plant.go</v>
      </c>
      <c r="D2" t="s">
        <v>14</v>
      </c>
    </row>
    <row r="3" spans="1:4" x14ac:dyDescent="0.3">
      <c r="A3" s="14" t="s">
        <v>5</v>
      </c>
      <c r="C3" t="str">
        <f t="shared" ref="C3:C36" si="0">_xlfn.CONCAT($C$1,A3,$D$1)</f>
        <v>model_plant.go</v>
      </c>
      <c r="D3" t="s">
        <v>15</v>
      </c>
    </row>
    <row r="4" spans="1:4" x14ac:dyDescent="0.3">
      <c r="A4" s="14" t="s">
        <v>6</v>
      </c>
      <c r="C4" t="str">
        <f t="shared" si="0"/>
        <v>model_plant_type.go</v>
      </c>
      <c r="D4" t="s">
        <v>16</v>
      </c>
    </row>
    <row r="5" spans="1:4" x14ac:dyDescent="0.3">
      <c r="A5" s="14" t="s">
        <v>7</v>
      </c>
      <c r="C5" t="str">
        <f t="shared" si="0"/>
        <v>model_favorite_plant.go</v>
      </c>
      <c r="D5" t="s">
        <v>17</v>
      </c>
    </row>
    <row r="6" spans="1:4" x14ac:dyDescent="0.3">
      <c r="A6" s="14" t="s">
        <v>8</v>
      </c>
      <c r="C6" t="str">
        <f t="shared" si="0"/>
        <v>model_trans_fertilizer_ratio.go</v>
      </c>
      <c r="D6" t="s">
        <v>18</v>
      </c>
    </row>
    <row r="7" spans="1:4" x14ac:dyDescent="0.3">
      <c r="A7" s="14" t="s">
        <v>9</v>
      </c>
      <c r="C7" t="str">
        <f t="shared" si="0"/>
        <v>model_fertilizer.go</v>
      </c>
      <c r="D7" t="s">
        <v>19</v>
      </c>
    </row>
    <row r="8" spans="1:4" x14ac:dyDescent="0.3">
      <c r="A8" s="14" t="s">
        <v>10</v>
      </c>
      <c r="C8" t="str">
        <f t="shared" si="0"/>
        <v>model_fertilizer_cat.go</v>
      </c>
      <c r="D8" t="s">
        <v>20</v>
      </c>
    </row>
    <row r="9" spans="1:4" x14ac:dyDescent="0.3">
      <c r="A9" s="14" t="s">
        <v>11</v>
      </c>
      <c r="C9" t="str">
        <f t="shared" si="0"/>
        <v>model_trans_sensor_value_rec.go</v>
      </c>
      <c r="D9" t="s">
        <v>21</v>
      </c>
    </row>
    <row r="10" spans="1:4" x14ac:dyDescent="0.3">
      <c r="A10" s="14" t="s">
        <v>22</v>
      </c>
      <c r="C10" t="str">
        <f t="shared" si="0"/>
        <v>model_address_farm.go</v>
      </c>
      <c r="D10" t="s">
        <v>48</v>
      </c>
    </row>
    <row r="11" spans="1:4" x14ac:dyDescent="0.3">
      <c r="A11" s="14" t="s">
        <v>23</v>
      </c>
      <c r="C11" t="str">
        <f t="shared" si="0"/>
        <v>model_address_user.go</v>
      </c>
      <c r="D11" t="s">
        <v>49</v>
      </c>
    </row>
    <row r="12" spans="1:4" x14ac:dyDescent="0.3">
      <c r="A12" s="14" t="s">
        <v>24</v>
      </c>
      <c r="C12" t="str">
        <f t="shared" si="0"/>
        <v>model_country.go</v>
      </c>
      <c r="D12" t="s">
        <v>50</v>
      </c>
    </row>
    <row r="13" spans="1:4" x14ac:dyDescent="0.3">
      <c r="A13" s="14" t="s">
        <v>25</v>
      </c>
      <c r="C13" t="str">
        <f t="shared" si="0"/>
        <v>model_district.go</v>
      </c>
      <c r="D13" t="s">
        <v>51</v>
      </c>
    </row>
    <row r="14" spans="1:4" x14ac:dyDescent="0.3">
      <c r="A14" s="14" t="s">
        <v>26</v>
      </c>
      <c r="C14" t="str">
        <f t="shared" si="0"/>
        <v>model_farm.go</v>
      </c>
      <c r="D14" t="s">
        <v>52</v>
      </c>
    </row>
    <row r="15" spans="1:4" x14ac:dyDescent="0.3">
      <c r="A15" s="14" t="s">
        <v>27</v>
      </c>
      <c r="C15" t="str">
        <f t="shared" si="0"/>
        <v>model_farm_area.go</v>
      </c>
      <c r="D15" t="s">
        <v>53</v>
      </c>
    </row>
    <row r="16" spans="1:4" x14ac:dyDescent="0.3">
      <c r="A16" s="14" t="s">
        <v>74</v>
      </c>
      <c r="C16" t="str">
        <f>_xlfn.CONCAT($C$1,A16,$D$1)</f>
        <v>model_socket_action.go</v>
      </c>
      <c r="D16" t="s">
        <v>75</v>
      </c>
    </row>
    <row r="17" spans="1:4" x14ac:dyDescent="0.3">
      <c r="A17" s="14" t="s">
        <v>28</v>
      </c>
      <c r="C17" t="str">
        <f t="shared" si="0"/>
        <v>model_indicate_type.go</v>
      </c>
      <c r="D17" t="s">
        <v>54</v>
      </c>
    </row>
    <row r="18" spans="1:4" x14ac:dyDescent="0.3">
      <c r="A18" s="14" t="s">
        <v>29</v>
      </c>
      <c r="C18" t="str">
        <f t="shared" si="0"/>
        <v>model_mainbox.go</v>
      </c>
      <c r="D18" t="s">
        <v>55</v>
      </c>
    </row>
    <row r="19" spans="1:4" x14ac:dyDescent="0.3">
      <c r="A19" s="14" t="s">
        <v>30</v>
      </c>
      <c r="C19" t="str">
        <f t="shared" si="0"/>
        <v>model_province.go</v>
      </c>
      <c r="D19" t="s">
        <v>56</v>
      </c>
    </row>
    <row r="20" spans="1:4" x14ac:dyDescent="0.3">
      <c r="A20" s="14" t="s">
        <v>31</v>
      </c>
      <c r="C20" t="str">
        <f t="shared" si="0"/>
        <v>model_role.go</v>
      </c>
      <c r="D20" t="s">
        <v>57</v>
      </c>
    </row>
    <row r="21" spans="1:4" x14ac:dyDescent="0.3">
      <c r="A21" s="14" t="s">
        <v>32</v>
      </c>
      <c r="C21" t="str">
        <f t="shared" si="0"/>
        <v>model_schedule.go</v>
      </c>
      <c r="D21" t="s">
        <v>58</v>
      </c>
    </row>
    <row r="22" spans="1:4" x14ac:dyDescent="0.3">
      <c r="A22" s="14" t="s">
        <v>33</v>
      </c>
      <c r="C22" t="str">
        <f t="shared" si="0"/>
        <v>model_sensor.go</v>
      </c>
      <c r="D22" t="s">
        <v>59</v>
      </c>
    </row>
    <row r="23" spans="1:4" x14ac:dyDescent="0.3">
      <c r="A23" s="14" t="s">
        <v>34</v>
      </c>
      <c r="C23" t="str">
        <f t="shared" si="0"/>
        <v>model_sensor_type.go</v>
      </c>
      <c r="D23" t="s">
        <v>60</v>
      </c>
    </row>
    <row r="24" spans="1:4" x14ac:dyDescent="0.3">
      <c r="A24" s="14" t="s">
        <v>35</v>
      </c>
      <c r="C24" t="str">
        <f t="shared" si="0"/>
        <v>model_session_action.go</v>
      </c>
      <c r="D24" t="s">
        <v>61</v>
      </c>
    </row>
    <row r="25" spans="1:4" x14ac:dyDescent="0.3">
      <c r="A25" s="14" t="s">
        <v>36</v>
      </c>
      <c r="C25" t="str">
        <f t="shared" si="0"/>
        <v>model_session_time.go</v>
      </c>
      <c r="D25" t="s">
        <v>62</v>
      </c>
    </row>
    <row r="26" spans="1:4" x14ac:dyDescent="0.3">
      <c r="A26" s="14" t="s">
        <v>37</v>
      </c>
      <c r="C26" t="str">
        <f t="shared" si="0"/>
        <v>model_socket.go</v>
      </c>
      <c r="D26" t="s">
        <v>63</v>
      </c>
    </row>
    <row r="27" spans="1:4" x14ac:dyDescent="0.3">
      <c r="A27" s="14" t="s">
        <v>38</v>
      </c>
      <c r="C27" t="str">
        <f t="shared" si="0"/>
        <v>model_status.go</v>
      </c>
      <c r="D27" t="s">
        <v>64</v>
      </c>
    </row>
    <row r="28" spans="1:4" x14ac:dyDescent="0.3">
      <c r="A28" s="14" t="s">
        <v>39</v>
      </c>
      <c r="C28" t="str">
        <f t="shared" si="0"/>
        <v>model_sub_district.go</v>
      </c>
      <c r="D28" t="s">
        <v>65</v>
      </c>
    </row>
    <row r="29" spans="1:4" x14ac:dyDescent="0.3">
      <c r="A29" s="14" t="s">
        <v>40</v>
      </c>
      <c r="C29" t="str">
        <f t="shared" si="0"/>
        <v>model_trans_management.go</v>
      </c>
      <c r="D29" t="s">
        <v>66</v>
      </c>
    </row>
    <row r="30" spans="1:4" x14ac:dyDescent="0.3">
      <c r="A30" s="14" t="s">
        <v>41</v>
      </c>
      <c r="C30" t="str">
        <f t="shared" si="0"/>
        <v>model_trans_schedule_farm.go</v>
      </c>
      <c r="D30" t="s">
        <v>67</v>
      </c>
    </row>
    <row r="31" spans="1:4" x14ac:dyDescent="0.3">
      <c r="A31" s="14" t="s">
        <v>42</v>
      </c>
      <c r="C31" t="str">
        <f t="shared" si="0"/>
        <v>model_trans_socket_area.go</v>
      </c>
      <c r="D31" t="s">
        <v>68</v>
      </c>
    </row>
    <row r="32" spans="1:4" x14ac:dyDescent="0.3">
      <c r="A32" s="14" t="s">
        <v>43</v>
      </c>
      <c r="C32" t="str">
        <f t="shared" si="0"/>
        <v>model_users.go</v>
      </c>
      <c r="D32" t="s">
        <v>69</v>
      </c>
    </row>
    <row r="33" spans="1:4" x14ac:dyDescent="0.3">
      <c r="A33" s="14" t="s">
        <v>44</v>
      </c>
      <c r="C33" t="str">
        <f t="shared" si="0"/>
        <v>model_platform.go</v>
      </c>
      <c r="D33" t="s">
        <v>70</v>
      </c>
    </row>
    <row r="34" spans="1:4" x14ac:dyDescent="0.3">
      <c r="A34" s="14" t="s">
        <v>45</v>
      </c>
      <c r="C34" t="str">
        <f t="shared" si="0"/>
        <v>model_gender.go</v>
      </c>
      <c r="D34" t="s">
        <v>71</v>
      </c>
    </row>
    <row r="35" spans="1:4" x14ac:dyDescent="0.3">
      <c r="A35" s="14" t="s">
        <v>46</v>
      </c>
      <c r="C35" t="str">
        <f t="shared" si="0"/>
        <v>model_frequency_type.go</v>
      </c>
      <c r="D35" t="s">
        <v>72</v>
      </c>
    </row>
    <row r="36" spans="1:4" x14ac:dyDescent="0.3">
      <c r="A36" s="14" t="s">
        <v>47</v>
      </c>
      <c r="C36" t="str">
        <f t="shared" si="0"/>
        <v>model_status_sensor.go</v>
      </c>
      <c r="D36" t="s">
        <v>73</v>
      </c>
    </row>
  </sheetData>
  <sortState xmlns:xlrd2="http://schemas.microsoft.com/office/spreadsheetml/2017/richdata2" ref="G1:G36">
    <sortCondition ref="G1:G36"/>
  </sortState>
  <conditionalFormatting sqref="A45:A1048576 A1:A36">
    <cfRule type="duplicateValues" dxfId="2" priority="15"/>
  </conditionalFormatting>
  <conditionalFormatting sqref="A10:A36">
    <cfRule type="duplicateValues" dxfId="1" priority="19"/>
  </conditionalFormatting>
  <conditionalFormatting sqref="G1:H1048576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5F13D-3E3C-4FFC-AEB9-2CF9DAA24886}">
  <dimension ref="A1:Y65"/>
  <sheetViews>
    <sheetView zoomScale="70" zoomScaleNormal="70" workbookViewId="0">
      <selection activeCell="F8" sqref="F8:H23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6.44140625" bestFit="1" customWidth="1"/>
    <col min="11" max="11" width="10.5546875" bestFit="1" customWidth="1"/>
    <col min="17" max="17" width="10.5546875" style="11" bestFit="1" customWidth="1"/>
    <col min="18" max="18" width="20.44140625" style="11" bestFit="1" customWidth="1"/>
    <col min="19" max="20" width="14.6640625" style="11" customWidth="1"/>
    <col min="21" max="24" width="22.33203125" style="11" customWidth="1"/>
    <col min="25" max="25" width="10.33203125" bestFit="1" customWidth="1"/>
  </cols>
  <sheetData>
    <row r="1" spans="1:25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17" t="s">
        <v>119</v>
      </c>
      <c r="R1" s="18" t="s">
        <v>120</v>
      </c>
      <c r="S1" s="17" t="s">
        <v>121</v>
      </c>
      <c r="T1" s="18" t="s">
        <v>133</v>
      </c>
      <c r="U1" s="17" t="s">
        <v>125</v>
      </c>
      <c r="V1" s="18" t="s">
        <v>124</v>
      </c>
      <c r="W1" s="17" t="s">
        <v>135</v>
      </c>
      <c r="X1" s="22" t="s">
        <v>164</v>
      </c>
    </row>
    <row r="2" spans="1:25" x14ac:dyDescent="0.3">
      <c r="A2" s="11" t="s">
        <v>4</v>
      </c>
      <c r="C2" t="str">
        <f>_xlfn.CONCAT($C$1,A2,$D$1)</f>
        <v>model_formula_plant.go</v>
      </c>
      <c r="D2" t="s">
        <v>14</v>
      </c>
      <c r="F2" s="14" t="s">
        <v>8</v>
      </c>
      <c r="G2" s="14" t="s">
        <v>76</v>
      </c>
      <c r="H2" s="14" t="s">
        <v>77</v>
      </c>
      <c r="Q2" s="23" t="s">
        <v>117</v>
      </c>
      <c r="R2" s="23" t="s">
        <v>122</v>
      </c>
      <c r="S2" s="23" t="s">
        <v>118</v>
      </c>
      <c r="T2" s="23" t="s">
        <v>6</v>
      </c>
      <c r="U2" s="23" t="s">
        <v>126</v>
      </c>
      <c r="V2" s="23" t="s">
        <v>100</v>
      </c>
      <c r="W2" s="23" t="s">
        <v>100</v>
      </c>
      <c r="X2" s="19"/>
      <c r="Y2" s="20" t="s">
        <v>123</v>
      </c>
    </row>
    <row r="3" spans="1:25" x14ac:dyDescent="0.3">
      <c r="A3" s="11" t="s">
        <v>5</v>
      </c>
      <c r="C3" t="str">
        <f t="shared" ref="C3:C9" si="0">_xlfn.CONCAT($C$1,A3,$D$1)</f>
        <v>model_plant.go</v>
      </c>
      <c r="D3" t="s">
        <v>15</v>
      </c>
      <c r="F3" s="14" t="s">
        <v>8</v>
      </c>
      <c r="G3" s="14" t="s">
        <v>76</v>
      </c>
      <c r="H3" s="14" t="s">
        <v>78</v>
      </c>
      <c r="Q3" s="23" t="s">
        <v>117</v>
      </c>
      <c r="R3" s="23" t="s">
        <v>122</v>
      </c>
      <c r="S3" s="23" t="s">
        <v>118</v>
      </c>
      <c r="T3" s="23" t="s">
        <v>6</v>
      </c>
      <c r="U3" s="23" t="s">
        <v>148</v>
      </c>
      <c r="V3" s="23" t="s">
        <v>6</v>
      </c>
      <c r="W3" s="23" t="s">
        <v>151</v>
      </c>
      <c r="X3" s="19"/>
    </row>
    <row r="4" spans="1:25" x14ac:dyDescent="0.3">
      <c r="A4" s="11" t="s">
        <v>6</v>
      </c>
      <c r="C4" t="str">
        <f t="shared" si="0"/>
        <v>model_plant_type.go</v>
      </c>
      <c r="D4" t="s">
        <v>16</v>
      </c>
      <c r="F4" s="14" t="s">
        <v>8</v>
      </c>
      <c r="G4" s="14" t="s">
        <v>79</v>
      </c>
      <c r="H4" s="14" t="s">
        <v>80</v>
      </c>
      <c r="Q4" s="23" t="s">
        <v>117</v>
      </c>
      <c r="R4" s="23" t="s">
        <v>122</v>
      </c>
      <c r="S4" s="23" t="s">
        <v>118</v>
      </c>
      <c r="T4" s="23" t="s">
        <v>5</v>
      </c>
      <c r="U4" s="23" t="s">
        <v>127</v>
      </c>
      <c r="V4" s="23" t="s">
        <v>92</v>
      </c>
      <c r="W4" s="23" t="s">
        <v>92</v>
      </c>
      <c r="X4" s="19"/>
    </row>
    <row r="5" spans="1:25" x14ac:dyDescent="0.3">
      <c r="A5" s="11" t="s">
        <v>7</v>
      </c>
      <c r="C5" t="str">
        <f t="shared" si="0"/>
        <v>model_favorite_plant.go</v>
      </c>
      <c r="D5" t="s">
        <v>17</v>
      </c>
      <c r="F5" s="14" t="s">
        <v>8</v>
      </c>
      <c r="G5" s="14"/>
      <c r="H5" s="14" t="s">
        <v>81</v>
      </c>
      <c r="Q5" s="23" t="s">
        <v>117</v>
      </c>
      <c r="R5" s="23" t="s">
        <v>122</v>
      </c>
      <c r="S5" s="23" t="s">
        <v>118</v>
      </c>
      <c r="T5" s="23" t="s">
        <v>5</v>
      </c>
      <c r="U5" s="23" t="s">
        <v>149</v>
      </c>
      <c r="V5" s="23" t="s">
        <v>147</v>
      </c>
      <c r="W5" s="23" t="s">
        <v>147</v>
      </c>
      <c r="X5" s="19"/>
    </row>
    <row r="6" spans="1:25" x14ac:dyDescent="0.3">
      <c r="A6" s="11" t="s">
        <v>8</v>
      </c>
      <c r="C6" t="str">
        <f t="shared" si="0"/>
        <v>model_trans_fertilizer_ratio.go</v>
      </c>
      <c r="D6" t="s">
        <v>18</v>
      </c>
      <c r="F6" s="14" t="s">
        <v>8</v>
      </c>
      <c r="G6" s="14"/>
      <c r="H6" s="14" t="s">
        <v>82</v>
      </c>
      <c r="Q6" s="23" t="s">
        <v>117</v>
      </c>
      <c r="R6" s="23" t="s">
        <v>122</v>
      </c>
      <c r="S6" s="23" t="s">
        <v>118</v>
      </c>
      <c r="T6" s="23" t="s">
        <v>5</v>
      </c>
      <c r="U6" s="23" t="s">
        <v>150</v>
      </c>
      <c r="V6" s="23" t="s">
        <v>146</v>
      </c>
      <c r="W6" s="23" t="s">
        <v>146</v>
      </c>
      <c r="X6" s="19"/>
    </row>
    <row r="7" spans="1:25" x14ac:dyDescent="0.3">
      <c r="A7" s="11" t="s">
        <v>9</v>
      </c>
      <c r="C7" t="str">
        <f t="shared" si="0"/>
        <v>model_fertilizer.go</v>
      </c>
      <c r="D7" t="s">
        <v>19</v>
      </c>
      <c r="F7" s="14" t="s">
        <v>8</v>
      </c>
      <c r="G7" s="14"/>
      <c r="H7" s="14" t="s">
        <v>83</v>
      </c>
      <c r="Q7" s="23" t="s">
        <v>117</v>
      </c>
      <c r="R7" s="23" t="s">
        <v>122</v>
      </c>
      <c r="S7" s="23" t="s">
        <v>118</v>
      </c>
      <c r="T7" s="23" t="s">
        <v>5</v>
      </c>
      <c r="U7" s="23" t="s">
        <v>128</v>
      </c>
      <c r="V7" s="23" t="s">
        <v>136</v>
      </c>
      <c r="W7" s="23" t="s">
        <v>136</v>
      </c>
      <c r="X7" s="19"/>
    </row>
    <row r="8" spans="1:25" x14ac:dyDescent="0.3">
      <c r="A8" s="11" t="s">
        <v>10</v>
      </c>
      <c r="C8" t="str">
        <f t="shared" si="0"/>
        <v>model_fertilizer_cat.go</v>
      </c>
      <c r="D8" t="s">
        <v>20</v>
      </c>
      <c r="F8" s="11" t="s">
        <v>4</v>
      </c>
      <c r="G8" s="11" t="s">
        <v>76</v>
      </c>
      <c r="H8" s="11" t="s">
        <v>78</v>
      </c>
      <c r="Q8" s="8" t="s">
        <v>157</v>
      </c>
      <c r="R8" s="8" t="s">
        <v>158</v>
      </c>
      <c r="S8" s="8" t="s">
        <v>156</v>
      </c>
      <c r="T8" s="24" t="s">
        <v>6</v>
      </c>
      <c r="U8" s="8" t="s">
        <v>126</v>
      </c>
      <c r="V8" s="8" t="s">
        <v>100</v>
      </c>
      <c r="W8" s="8" t="s">
        <v>100</v>
      </c>
      <c r="X8" s="8"/>
    </row>
    <row r="9" spans="1:25" x14ac:dyDescent="0.3">
      <c r="A9" s="13" t="s">
        <v>11</v>
      </c>
      <c r="C9" t="str">
        <f t="shared" si="0"/>
        <v>model_trans_sensor_value_rec.go</v>
      </c>
      <c r="D9" t="s">
        <v>21</v>
      </c>
      <c r="F9" s="11" t="s">
        <v>4</v>
      </c>
      <c r="G9" s="11"/>
      <c r="H9" s="11" t="s">
        <v>84</v>
      </c>
      <c r="Q9" s="8" t="s">
        <v>157</v>
      </c>
      <c r="R9" s="8" t="s">
        <v>158</v>
      </c>
      <c r="S9" s="8" t="s">
        <v>156</v>
      </c>
      <c r="T9" s="24" t="s">
        <v>6</v>
      </c>
      <c r="U9" s="8" t="s">
        <v>148</v>
      </c>
      <c r="V9" s="8" t="s">
        <v>6</v>
      </c>
      <c r="W9" s="8" t="s">
        <v>151</v>
      </c>
      <c r="X9" s="8"/>
    </row>
    <row r="10" spans="1:25" x14ac:dyDescent="0.3">
      <c r="F10" s="11" t="s">
        <v>4</v>
      </c>
      <c r="G10" s="11"/>
      <c r="H10" s="11" t="s">
        <v>85</v>
      </c>
      <c r="Q10" s="8" t="s">
        <v>157</v>
      </c>
      <c r="R10" s="8" t="s">
        <v>158</v>
      </c>
      <c r="S10" s="8" t="s">
        <v>156</v>
      </c>
      <c r="T10" s="8" t="s">
        <v>4</v>
      </c>
      <c r="U10" s="8" t="s">
        <v>139</v>
      </c>
      <c r="V10" s="8" t="s">
        <v>78</v>
      </c>
      <c r="W10" s="8" t="s">
        <v>78</v>
      </c>
      <c r="X10" s="8"/>
    </row>
    <row r="11" spans="1:25" x14ac:dyDescent="0.3">
      <c r="F11" s="11" t="s">
        <v>4</v>
      </c>
      <c r="G11" s="11"/>
      <c r="H11" s="11" t="s">
        <v>86</v>
      </c>
      <c r="Q11" s="8" t="s">
        <v>157</v>
      </c>
      <c r="R11" s="8" t="s">
        <v>158</v>
      </c>
      <c r="S11" s="8" t="s">
        <v>156</v>
      </c>
      <c r="T11" s="8" t="s">
        <v>4</v>
      </c>
      <c r="U11" s="8" t="s">
        <v>142</v>
      </c>
      <c r="V11" s="8" t="s">
        <v>84</v>
      </c>
      <c r="W11" s="8" t="s">
        <v>84</v>
      </c>
      <c r="X11" s="8"/>
    </row>
    <row r="12" spans="1:25" x14ac:dyDescent="0.3">
      <c r="F12" s="11" t="s">
        <v>4</v>
      </c>
      <c r="G12" s="11"/>
      <c r="H12" s="11" t="s">
        <v>87</v>
      </c>
      <c r="Q12" s="8" t="s">
        <v>157</v>
      </c>
      <c r="R12" s="8" t="s">
        <v>158</v>
      </c>
      <c r="S12" s="8" t="s">
        <v>156</v>
      </c>
      <c r="T12" s="8" t="s">
        <v>4</v>
      </c>
      <c r="U12" s="8" t="s">
        <v>141</v>
      </c>
      <c r="V12" s="8" t="s">
        <v>85</v>
      </c>
      <c r="W12" s="8" t="s">
        <v>85</v>
      </c>
      <c r="X12" s="8"/>
    </row>
    <row r="13" spans="1:25" x14ac:dyDescent="0.3">
      <c r="F13" s="11" t="s">
        <v>4</v>
      </c>
      <c r="G13" s="11"/>
      <c r="H13" s="11" t="s">
        <v>88</v>
      </c>
      <c r="Q13" s="8" t="s">
        <v>157</v>
      </c>
      <c r="R13" s="8" t="s">
        <v>158</v>
      </c>
      <c r="S13" s="8" t="s">
        <v>156</v>
      </c>
      <c r="T13" s="8" t="s">
        <v>4</v>
      </c>
      <c r="U13" s="8" t="s">
        <v>140</v>
      </c>
      <c r="V13" s="8" t="s">
        <v>86</v>
      </c>
      <c r="W13" s="8" t="s">
        <v>86</v>
      </c>
      <c r="X13" s="8"/>
    </row>
    <row r="14" spans="1:25" x14ac:dyDescent="0.3">
      <c r="F14" s="11" t="s">
        <v>4</v>
      </c>
      <c r="G14" s="11"/>
      <c r="H14" s="11" t="s">
        <v>89</v>
      </c>
      <c r="Q14" s="8" t="s">
        <v>157</v>
      </c>
      <c r="R14" s="8" t="s">
        <v>158</v>
      </c>
      <c r="S14" s="8" t="s">
        <v>156</v>
      </c>
      <c r="T14" s="8" t="s">
        <v>129</v>
      </c>
      <c r="U14" s="8" t="s">
        <v>132</v>
      </c>
      <c r="V14" s="8" t="s">
        <v>129</v>
      </c>
      <c r="W14" s="8" t="s">
        <v>130</v>
      </c>
      <c r="X14" s="8"/>
    </row>
    <row r="15" spans="1:25" x14ac:dyDescent="0.3">
      <c r="F15" s="11" t="s">
        <v>4</v>
      </c>
      <c r="G15" s="11"/>
      <c r="H15" s="11" t="s">
        <v>90</v>
      </c>
      <c r="Q15" s="8" t="s">
        <v>157</v>
      </c>
      <c r="R15" s="8" t="s">
        <v>158</v>
      </c>
      <c r="S15" s="8" t="s">
        <v>156</v>
      </c>
      <c r="T15" s="8" t="s">
        <v>129</v>
      </c>
      <c r="U15" s="8" t="s">
        <v>131</v>
      </c>
      <c r="V15" s="8" t="s">
        <v>129</v>
      </c>
      <c r="W15" s="8" t="s">
        <v>137</v>
      </c>
      <c r="X15" s="8"/>
    </row>
    <row r="16" spans="1:25" x14ac:dyDescent="0.3">
      <c r="F16" s="11" t="s">
        <v>4</v>
      </c>
      <c r="G16" s="11"/>
      <c r="H16" s="11" t="s">
        <v>91</v>
      </c>
      <c r="Q16" s="8" t="s">
        <v>157</v>
      </c>
      <c r="R16" s="8" t="s">
        <v>158</v>
      </c>
      <c r="S16" s="8" t="s">
        <v>156</v>
      </c>
      <c r="T16" s="8" t="s">
        <v>4</v>
      </c>
      <c r="U16" s="8" t="s">
        <v>144</v>
      </c>
      <c r="V16" s="8" t="s">
        <v>94</v>
      </c>
      <c r="W16" s="8" t="s">
        <v>94</v>
      </c>
      <c r="X16" s="8"/>
    </row>
    <row r="17" spans="6:24" x14ac:dyDescent="0.3">
      <c r="F17" s="11" t="s">
        <v>4</v>
      </c>
      <c r="G17" s="11"/>
      <c r="H17" s="11" t="s">
        <v>82</v>
      </c>
      <c r="Q17" s="8" t="s">
        <v>157</v>
      </c>
      <c r="R17" s="8" t="s">
        <v>158</v>
      </c>
      <c r="S17" s="8" t="s">
        <v>156</v>
      </c>
      <c r="T17" s="8" t="s">
        <v>4</v>
      </c>
      <c r="U17" s="8" t="s">
        <v>152</v>
      </c>
      <c r="V17" s="8" t="s">
        <v>153</v>
      </c>
      <c r="W17" s="8" t="s">
        <v>153</v>
      </c>
      <c r="X17" s="8"/>
    </row>
    <row r="18" spans="6:24" x14ac:dyDescent="0.3">
      <c r="F18" s="11" t="s">
        <v>4</v>
      </c>
      <c r="G18" s="11"/>
      <c r="H18" s="11" t="s">
        <v>83</v>
      </c>
      <c r="Q18" s="8" t="s">
        <v>157</v>
      </c>
      <c r="R18" s="8" t="s">
        <v>158</v>
      </c>
      <c r="S18" s="8" t="s">
        <v>156</v>
      </c>
      <c r="T18" s="8" t="s">
        <v>4</v>
      </c>
      <c r="U18" s="8" t="s">
        <v>145</v>
      </c>
      <c r="V18" s="8" t="s">
        <v>93</v>
      </c>
      <c r="W18" s="8" t="s">
        <v>93</v>
      </c>
      <c r="X18" s="8"/>
    </row>
    <row r="19" spans="6:24" x14ac:dyDescent="0.3">
      <c r="F19" s="11" t="s">
        <v>4</v>
      </c>
      <c r="G19" s="11" t="s">
        <v>79</v>
      </c>
      <c r="H19" s="11" t="s">
        <v>92</v>
      </c>
      <c r="Q19" s="8" t="s">
        <v>157</v>
      </c>
      <c r="R19" s="8" t="s">
        <v>158</v>
      </c>
      <c r="S19" s="8" t="s">
        <v>156</v>
      </c>
      <c r="T19" s="8" t="s">
        <v>4</v>
      </c>
      <c r="U19" s="8" t="s">
        <v>154</v>
      </c>
      <c r="V19" s="8" t="s">
        <v>155</v>
      </c>
      <c r="W19" s="8" t="s">
        <v>155</v>
      </c>
      <c r="X19" s="8"/>
    </row>
    <row r="20" spans="6:24" x14ac:dyDescent="0.3">
      <c r="F20" s="11" t="s">
        <v>4</v>
      </c>
      <c r="G20" s="11" t="s">
        <v>79</v>
      </c>
      <c r="H20" s="11" t="s">
        <v>80</v>
      </c>
      <c r="Q20" s="8" t="s">
        <v>157</v>
      </c>
      <c r="R20" s="8" t="s">
        <v>158</v>
      </c>
      <c r="S20" s="8" t="s">
        <v>156</v>
      </c>
      <c r="T20" s="8" t="s">
        <v>4</v>
      </c>
      <c r="U20" s="8" t="s">
        <v>143</v>
      </c>
      <c r="V20" s="8" t="s">
        <v>95</v>
      </c>
      <c r="W20" s="8" t="s">
        <v>95</v>
      </c>
      <c r="X20" s="8"/>
    </row>
    <row r="21" spans="6:24" x14ac:dyDescent="0.3">
      <c r="F21" s="11" t="s">
        <v>4</v>
      </c>
      <c r="G21" s="11" t="s">
        <v>79</v>
      </c>
      <c r="H21" s="11" t="s">
        <v>93</v>
      </c>
      <c r="Q21" s="8" t="s">
        <v>157</v>
      </c>
      <c r="R21" s="8" t="s">
        <v>158</v>
      </c>
      <c r="S21" s="8" t="s">
        <v>156</v>
      </c>
      <c r="T21" s="8" t="s">
        <v>129</v>
      </c>
      <c r="U21" s="8" t="s">
        <v>134</v>
      </c>
      <c r="V21" s="8" t="s">
        <v>129</v>
      </c>
      <c r="W21" s="8" t="s">
        <v>138</v>
      </c>
      <c r="X21" s="8"/>
    </row>
    <row r="22" spans="6:24" x14ac:dyDescent="0.3">
      <c r="F22" s="11" t="s">
        <v>4</v>
      </c>
      <c r="G22" s="11" t="s">
        <v>79</v>
      </c>
      <c r="H22" s="11" t="s">
        <v>94</v>
      </c>
      <c r="Q22" s="8" t="s">
        <v>157</v>
      </c>
      <c r="R22" s="8" t="s">
        <v>158</v>
      </c>
      <c r="S22" s="8" t="s">
        <v>156</v>
      </c>
      <c r="T22" s="8" t="s">
        <v>129</v>
      </c>
      <c r="U22" s="8" t="s">
        <v>160</v>
      </c>
      <c r="V22" s="8" t="s">
        <v>129</v>
      </c>
      <c r="W22" s="8" t="s">
        <v>159</v>
      </c>
      <c r="X22" s="8"/>
    </row>
    <row r="23" spans="6:24" x14ac:dyDescent="0.3">
      <c r="F23" s="11" t="s">
        <v>4</v>
      </c>
      <c r="G23" s="11"/>
      <c r="H23" s="11" t="s">
        <v>95</v>
      </c>
      <c r="Q23" s="8" t="s">
        <v>157</v>
      </c>
      <c r="R23" s="8" t="s">
        <v>158</v>
      </c>
      <c r="S23" s="8" t="s">
        <v>156</v>
      </c>
      <c r="T23" s="8" t="s">
        <v>4</v>
      </c>
      <c r="U23" s="8" t="s">
        <v>192</v>
      </c>
      <c r="V23" s="8" t="s">
        <v>103</v>
      </c>
      <c r="W23" s="8" t="s">
        <v>103</v>
      </c>
      <c r="X23" s="8"/>
    </row>
    <row r="24" spans="6:24" x14ac:dyDescent="0.3">
      <c r="F24" s="14" t="s">
        <v>5</v>
      </c>
      <c r="G24" s="14" t="s">
        <v>76</v>
      </c>
      <c r="H24" s="21" t="s">
        <v>92</v>
      </c>
      <c r="Q24" s="23" t="s">
        <v>117</v>
      </c>
      <c r="R24" s="23" t="s">
        <v>162</v>
      </c>
      <c r="S24" s="23" t="s">
        <v>161</v>
      </c>
      <c r="T24" s="23" t="s">
        <v>5</v>
      </c>
      <c r="U24" s="23" t="s">
        <v>127</v>
      </c>
      <c r="V24" s="23" t="s">
        <v>92</v>
      </c>
      <c r="W24" s="23" t="s">
        <v>92</v>
      </c>
      <c r="X24" s="23"/>
    </row>
    <row r="25" spans="6:24" x14ac:dyDescent="0.3">
      <c r="F25" s="14" t="s">
        <v>5</v>
      </c>
      <c r="G25" s="14"/>
      <c r="H25" s="21" t="s">
        <v>96</v>
      </c>
      <c r="Q25" s="23" t="s">
        <v>117</v>
      </c>
      <c r="R25" s="23" t="s">
        <v>162</v>
      </c>
      <c r="S25" s="23" t="s">
        <v>161</v>
      </c>
      <c r="T25" s="23" t="s">
        <v>5</v>
      </c>
      <c r="U25" s="23" t="s">
        <v>149</v>
      </c>
      <c r="V25" s="23" t="s">
        <v>147</v>
      </c>
      <c r="W25" s="23" t="s">
        <v>147</v>
      </c>
      <c r="X25" s="23"/>
    </row>
    <row r="26" spans="6:24" x14ac:dyDescent="0.3">
      <c r="F26" s="14" t="s">
        <v>5</v>
      </c>
      <c r="G26" s="14"/>
      <c r="H26" s="21" t="s">
        <v>97</v>
      </c>
      <c r="Q26" s="23" t="s">
        <v>117</v>
      </c>
      <c r="R26" s="23" t="s">
        <v>162</v>
      </c>
      <c r="S26" s="23" t="s">
        <v>161</v>
      </c>
      <c r="T26" s="23" t="s">
        <v>5</v>
      </c>
      <c r="U26" s="23" t="s">
        <v>150</v>
      </c>
      <c r="V26" s="23" t="s">
        <v>146</v>
      </c>
      <c r="W26" s="23" t="s">
        <v>146</v>
      </c>
      <c r="X26" s="23"/>
    </row>
    <row r="27" spans="6:24" x14ac:dyDescent="0.3">
      <c r="F27" s="14" t="s">
        <v>5</v>
      </c>
      <c r="G27" s="14"/>
      <c r="H27" s="21" t="s">
        <v>98</v>
      </c>
      <c r="Q27" s="23" t="s">
        <v>117</v>
      </c>
      <c r="R27" s="23" t="s">
        <v>162</v>
      </c>
      <c r="S27" s="23" t="s">
        <v>161</v>
      </c>
      <c r="T27" s="23" t="s">
        <v>129</v>
      </c>
      <c r="U27" s="23" t="s">
        <v>128</v>
      </c>
      <c r="V27" s="23" t="s">
        <v>129</v>
      </c>
      <c r="W27" s="23" t="s">
        <v>136</v>
      </c>
      <c r="X27" s="23"/>
    </row>
    <row r="28" spans="6:24" x14ac:dyDescent="0.3">
      <c r="F28" s="14" t="s">
        <v>5</v>
      </c>
      <c r="G28" s="14"/>
      <c r="H28" s="21" t="s">
        <v>99</v>
      </c>
      <c r="Q28" s="23" t="s">
        <v>117</v>
      </c>
      <c r="R28" s="23" t="s">
        <v>162</v>
      </c>
      <c r="S28" s="23" t="s">
        <v>161</v>
      </c>
      <c r="T28" s="23" t="s">
        <v>129</v>
      </c>
      <c r="U28" s="23" t="s">
        <v>163</v>
      </c>
      <c r="V28" s="23" t="s">
        <v>129</v>
      </c>
      <c r="W28" s="23" t="s">
        <v>175</v>
      </c>
      <c r="X28" s="23" t="s">
        <v>165</v>
      </c>
    </row>
    <row r="29" spans="6:24" x14ac:dyDescent="0.3">
      <c r="F29" s="14" t="s">
        <v>5</v>
      </c>
      <c r="G29" s="14"/>
      <c r="H29" s="14" t="s">
        <v>82</v>
      </c>
      <c r="Q29" s="8" t="s">
        <v>129</v>
      </c>
      <c r="R29" s="8" t="s">
        <v>129</v>
      </c>
      <c r="S29" s="8" t="s">
        <v>171</v>
      </c>
      <c r="T29" s="8" t="s">
        <v>129</v>
      </c>
      <c r="U29" s="8" t="s">
        <v>177</v>
      </c>
      <c r="V29" s="8" t="s">
        <v>77</v>
      </c>
      <c r="W29" s="8" t="s">
        <v>77</v>
      </c>
      <c r="X29" s="8"/>
    </row>
    <row r="30" spans="6:24" x14ac:dyDescent="0.3">
      <c r="F30" s="14" t="s">
        <v>5</v>
      </c>
      <c r="G30" s="14"/>
      <c r="H30" s="14" t="s">
        <v>83</v>
      </c>
      <c r="Q30" s="8" t="s">
        <v>129</v>
      </c>
      <c r="R30" s="8" t="s">
        <v>129</v>
      </c>
      <c r="S30" s="8" t="s">
        <v>171</v>
      </c>
      <c r="T30" s="8" t="s">
        <v>129</v>
      </c>
      <c r="U30" s="8" t="s">
        <v>178</v>
      </c>
      <c r="V30" s="8" t="s">
        <v>185</v>
      </c>
      <c r="W30" s="8" t="s">
        <v>185</v>
      </c>
      <c r="X30" s="8"/>
    </row>
    <row r="31" spans="6:24" x14ac:dyDescent="0.3">
      <c r="F31" s="14" t="s">
        <v>5</v>
      </c>
      <c r="G31" s="14" t="s">
        <v>79</v>
      </c>
      <c r="H31" s="14" t="s">
        <v>80</v>
      </c>
      <c r="Q31" s="8" t="s">
        <v>129</v>
      </c>
      <c r="R31" s="8" t="s">
        <v>129</v>
      </c>
      <c r="S31" s="8" t="s">
        <v>171</v>
      </c>
      <c r="T31" s="8" t="s">
        <v>129</v>
      </c>
      <c r="U31" s="8" t="s">
        <v>179</v>
      </c>
      <c r="V31" s="8" t="s">
        <v>108</v>
      </c>
      <c r="W31" s="8" t="s">
        <v>108</v>
      </c>
      <c r="X31" s="8"/>
    </row>
    <row r="32" spans="6:24" x14ac:dyDescent="0.3">
      <c r="F32" s="14" t="s">
        <v>5</v>
      </c>
      <c r="G32" s="14" t="s">
        <v>79</v>
      </c>
      <c r="H32" s="14" t="s">
        <v>100</v>
      </c>
      <c r="Q32" s="8" t="s">
        <v>129</v>
      </c>
      <c r="R32" s="8" t="s">
        <v>129</v>
      </c>
      <c r="S32" s="8" t="s">
        <v>171</v>
      </c>
      <c r="T32" s="8" t="s">
        <v>129</v>
      </c>
      <c r="U32" s="8" t="s">
        <v>180</v>
      </c>
      <c r="V32" s="8" t="s">
        <v>109</v>
      </c>
      <c r="W32" s="8" t="s">
        <v>109</v>
      </c>
      <c r="X32" s="8"/>
    </row>
    <row r="33" spans="6:24" x14ac:dyDescent="0.3">
      <c r="F33" s="11" t="s">
        <v>6</v>
      </c>
      <c r="G33" s="11" t="s">
        <v>76</v>
      </c>
      <c r="H33" s="8" t="s">
        <v>100</v>
      </c>
      <c r="Q33" s="8" t="s">
        <v>129</v>
      </c>
      <c r="R33" s="8" t="s">
        <v>129</v>
      </c>
      <c r="S33" s="8" t="s">
        <v>171</v>
      </c>
      <c r="T33" s="8" t="s">
        <v>129</v>
      </c>
      <c r="U33" s="8" t="s">
        <v>181</v>
      </c>
      <c r="V33" s="8" t="s">
        <v>110</v>
      </c>
      <c r="W33" s="8" t="s">
        <v>110</v>
      </c>
      <c r="X33" s="8"/>
    </row>
    <row r="34" spans="6:24" x14ac:dyDescent="0.3">
      <c r="F34" s="11" t="s">
        <v>6</v>
      </c>
      <c r="G34" s="11"/>
      <c r="H34" s="8" t="s">
        <v>101</v>
      </c>
      <c r="Q34" s="8" t="s">
        <v>129</v>
      </c>
      <c r="R34" s="8" t="s">
        <v>129</v>
      </c>
      <c r="S34" s="8" t="s">
        <v>171</v>
      </c>
      <c r="T34" s="8" t="s">
        <v>129</v>
      </c>
      <c r="U34" s="8" t="s">
        <v>182</v>
      </c>
      <c r="V34" s="8" t="s">
        <v>81</v>
      </c>
      <c r="W34" s="8" t="s">
        <v>81</v>
      </c>
      <c r="X34" s="8"/>
    </row>
    <row r="35" spans="6:24" x14ac:dyDescent="0.3">
      <c r="F35" s="11" t="s">
        <v>6</v>
      </c>
      <c r="G35" s="11"/>
      <c r="H35" s="8" t="s">
        <v>102</v>
      </c>
      <c r="Q35" s="8" t="s">
        <v>129</v>
      </c>
      <c r="R35" s="8" t="s">
        <v>129</v>
      </c>
      <c r="S35" s="8" t="s">
        <v>171</v>
      </c>
      <c r="T35" s="8" t="s">
        <v>129</v>
      </c>
      <c r="U35" s="8" t="s">
        <v>183</v>
      </c>
      <c r="V35" s="8" t="s">
        <v>111</v>
      </c>
      <c r="W35" s="8" t="s">
        <v>111</v>
      </c>
      <c r="X35" s="8"/>
    </row>
    <row r="36" spans="6:24" x14ac:dyDescent="0.3">
      <c r="F36" s="11" t="s">
        <v>6</v>
      </c>
      <c r="G36" s="11"/>
      <c r="H36" s="11" t="s">
        <v>82</v>
      </c>
      <c r="Q36" s="8" t="s">
        <v>129</v>
      </c>
      <c r="R36" s="8" t="s">
        <v>129</v>
      </c>
      <c r="S36" s="8" t="s">
        <v>171</v>
      </c>
      <c r="T36" s="8" t="s">
        <v>129</v>
      </c>
      <c r="U36" s="8" t="s">
        <v>184</v>
      </c>
      <c r="V36" s="8" t="s">
        <v>186</v>
      </c>
      <c r="W36" s="8" t="s">
        <v>186</v>
      </c>
      <c r="X36" s="8"/>
    </row>
    <row r="37" spans="6:24" x14ac:dyDescent="0.3">
      <c r="F37" s="11" t="s">
        <v>6</v>
      </c>
      <c r="G37" s="11"/>
      <c r="H37" s="11" t="s">
        <v>83</v>
      </c>
      <c r="Q37" s="23" t="s">
        <v>129</v>
      </c>
      <c r="R37" s="23" t="s">
        <v>129</v>
      </c>
      <c r="S37" s="23" t="s">
        <v>176</v>
      </c>
      <c r="T37" s="23" t="s">
        <v>129</v>
      </c>
      <c r="U37" s="23" t="s">
        <v>187</v>
      </c>
      <c r="V37" s="23" t="s">
        <v>104</v>
      </c>
      <c r="W37" s="23" t="s">
        <v>104</v>
      </c>
      <c r="X37" s="23"/>
    </row>
    <row r="38" spans="6:24" x14ac:dyDescent="0.3">
      <c r="F38" s="11" t="s">
        <v>6</v>
      </c>
      <c r="G38" s="11" t="s">
        <v>79</v>
      </c>
      <c r="H38" s="11" t="s">
        <v>80</v>
      </c>
      <c r="Q38" s="23" t="s">
        <v>129</v>
      </c>
      <c r="R38" s="23" t="s">
        <v>129</v>
      </c>
      <c r="S38" s="23" t="s">
        <v>176</v>
      </c>
      <c r="T38" s="23" t="s">
        <v>129</v>
      </c>
      <c r="U38" s="23" t="s">
        <v>188</v>
      </c>
      <c r="V38" s="23" t="s">
        <v>190</v>
      </c>
      <c r="W38" s="23" t="s">
        <v>190</v>
      </c>
      <c r="X38" s="23"/>
    </row>
    <row r="39" spans="6:24" x14ac:dyDescent="0.3">
      <c r="F39" s="14" t="s">
        <v>7</v>
      </c>
      <c r="G39" s="14" t="s">
        <v>76</v>
      </c>
      <c r="H39" s="14" t="s">
        <v>103</v>
      </c>
      <c r="Q39" s="23" t="s">
        <v>129</v>
      </c>
      <c r="R39" s="23" t="s">
        <v>129</v>
      </c>
      <c r="S39" s="23" t="s">
        <v>176</v>
      </c>
      <c r="T39" s="23" t="s">
        <v>129</v>
      </c>
      <c r="U39" s="23" t="s">
        <v>189</v>
      </c>
      <c r="V39" s="23" t="s">
        <v>105</v>
      </c>
      <c r="W39" s="23" t="s">
        <v>105</v>
      </c>
      <c r="X39" s="23"/>
    </row>
    <row r="40" spans="6:24" x14ac:dyDescent="0.3">
      <c r="F40" s="14" t="s">
        <v>7</v>
      </c>
      <c r="G40" s="14" t="s">
        <v>76</v>
      </c>
      <c r="H40" s="14" t="s">
        <v>78</v>
      </c>
      <c r="Q40" s="8" t="s">
        <v>117</v>
      </c>
      <c r="R40" s="8" t="s">
        <v>166</v>
      </c>
      <c r="S40" s="8" t="s">
        <v>167</v>
      </c>
      <c r="T40" s="8" t="s">
        <v>4</v>
      </c>
      <c r="U40" s="8" t="s">
        <v>139</v>
      </c>
      <c r="V40" s="8" t="s">
        <v>78</v>
      </c>
      <c r="W40" s="8" t="s">
        <v>78</v>
      </c>
      <c r="X40" s="8"/>
    </row>
    <row r="41" spans="6:24" x14ac:dyDescent="0.3">
      <c r="F41" s="14" t="s">
        <v>7</v>
      </c>
      <c r="G41" s="14"/>
      <c r="H41" s="14" t="s">
        <v>82</v>
      </c>
      <c r="Q41" s="8" t="s">
        <v>117</v>
      </c>
      <c r="R41" s="8" t="s">
        <v>166</v>
      </c>
      <c r="S41" s="8" t="s">
        <v>167</v>
      </c>
      <c r="T41" s="8" t="s">
        <v>4</v>
      </c>
      <c r="U41" s="8" t="s">
        <v>142</v>
      </c>
      <c r="V41" s="8" t="s">
        <v>84</v>
      </c>
      <c r="W41" s="8" t="s">
        <v>84</v>
      </c>
      <c r="X41" s="8"/>
    </row>
    <row r="42" spans="6:24" x14ac:dyDescent="0.3">
      <c r="F42" s="14" t="s">
        <v>7</v>
      </c>
      <c r="G42" s="14"/>
      <c r="H42" s="14" t="s">
        <v>83</v>
      </c>
      <c r="Q42" s="8" t="s">
        <v>117</v>
      </c>
      <c r="R42" s="8" t="s">
        <v>166</v>
      </c>
      <c r="S42" s="8" t="s">
        <v>167</v>
      </c>
      <c r="T42" s="8" t="s">
        <v>4</v>
      </c>
      <c r="U42" s="8" t="s">
        <v>141</v>
      </c>
      <c r="V42" s="8" t="s">
        <v>85</v>
      </c>
      <c r="W42" s="8" t="s">
        <v>85</v>
      </c>
      <c r="X42" s="8"/>
    </row>
    <row r="43" spans="6:24" x14ac:dyDescent="0.3">
      <c r="F43" s="14" t="s">
        <v>7</v>
      </c>
      <c r="G43" s="14" t="s">
        <v>79</v>
      </c>
      <c r="H43" s="14" t="s">
        <v>80</v>
      </c>
      <c r="Q43" s="8" t="s">
        <v>117</v>
      </c>
      <c r="R43" s="8" t="s">
        <v>166</v>
      </c>
      <c r="S43" s="8" t="s">
        <v>167</v>
      </c>
      <c r="T43" s="8" t="s">
        <v>4</v>
      </c>
      <c r="U43" s="8" t="s">
        <v>192</v>
      </c>
      <c r="V43" s="8" t="s">
        <v>103</v>
      </c>
      <c r="W43" s="8" t="s">
        <v>103</v>
      </c>
    </row>
    <row r="44" spans="6:24" x14ac:dyDescent="0.3">
      <c r="F44" s="11" t="s">
        <v>11</v>
      </c>
      <c r="G44" s="11" t="s">
        <v>76</v>
      </c>
      <c r="H44" s="11" t="s">
        <v>78</v>
      </c>
      <c r="Q44" s="8" t="s">
        <v>117</v>
      </c>
      <c r="R44" s="8" t="s">
        <v>166</v>
      </c>
      <c r="S44" s="8" t="s">
        <v>167</v>
      </c>
      <c r="T44" s="8" t="s">
        <v>43</v>
      </c>
      <c r="U44" s="8" t="s">
        <v>193</v>
      </c>
      <c r="V44" s="8" t="s">
        <v>194</v>
      </c>
      <c r="W44" s="8" t="s">
        <v>194</v>
      </c>
    </row>
    <row r="45" spans="6:24" x14ac:dyDescent="0.3">
      <c r="F45" s="11" t="s">
        <v>11</v>
      </c>
      <c r="G45" s="11" t="s">
        <v>76</v>
      </c>
      <c r="H45" s="11" t="s">
        <v>104</v>
      </c>
      <c r="Q45" s="8" t="s">
        <v>117</v>
      </c>
      <c r="R45" s="8" t="s">
        <v>166</v>
      </c>
      <c r="S45" s="8" t="s">
        <v>167</v>
      </c>
      <c r="T45" s="8" t="s">
        <v>4</v>
      </c>
      <c r="U45" s="8" t="s">
        <v>168</v>
      </c>
      <c r="V45" s="8" t="s">
        <v>129</v>
      </c>
      <c r="W45" s="8" t="s">
        <v>173</v>
      </c>
      <c r="X45" s="8" t="s">
        <v>170</v>
      </c>
    </row>
    <row r="46" spans="6:24" x14ac:dyDescent="0.3">
      <c r="F46" s="11" t="s">
        <v>11</v>
      </c>
      <c r="G46" s="11" t="s">
        <v>79</v>
      </c>
      <c r="H46" s="11" t="s">
        <v>80</v>
      </c>
      <c r="Q46" s="8" t="s">
        <v>117</v>
      </c>
      <c r="R46" s="8" t="s">
        <v>166</v>
      </c>
      <c r="S46" s="8" t="s">
        <v>167</v>
      </c>
      <c r="T46" s="8" t="s">
        <v>4</v>
      </c>
      <c r="U46" s="8" t="s">
        <v>169</v>
      </c>
      <c r="V46" s="8" t="s">
        <v>129</v>
      </c>
      <c r="W46" s="8" t="s">
        <v>174</v>
      </c>
      <c r="X46" s="8" t="s">
        <v>172</v>
      </c>
    </row>
    <row r="47" spans="6:24" x14ac:dyDescent="0.3">
      <c r="F47" s="11" t="s">
        <v>11</v>
      </c>
      <c r="G47" s="11"/>
      <c r="H47" s="11" t="s">
        <v>105</v>
      </c>
      <c r="Q47" s="23" t="s">
        <v>117</v>
      </c>
      <c r="R47" s="23" t="s">
        <v>122</v>
      </c>
      <c r="S47" s="23" t="s">
        <v>191</v>
      </c>
      <c r="T47" s="23" t="s">
        <v>6</v>
      </c>
      <c r="U47" s="23" t="s">
        <v>126</v>
      </c>
      <c r="V47" s="23" t="s">
        <v>100</v>
      </c>
      <c r="W47" s="23" t="s">
        <v>100</v>
      </c>
      <c r="X47" s="23"/>
    </row>
    <row r="48" spans="6:24" x14ac:dyDescent="0.3">
      <c r="F48" s="11" t="s">
        <v>11</v>
      </c>
      <c r="G48" s="11"/>
      <c r="H48" s="11" t="s">
        <v>82</v>
      </c>
      <c r="Q48" s="23" t="s">
        <v>117</v>
      </c>
      <c r="R48" s="23" t="s">
        <v>122</v>
      </c>
      <c r="S48" s="23" t="s">
        <v>191</v>
      </c>
      <c r="T48" s="23" t="s">
        <v>6</v>
      </c>
      <c r="U48" s="23" t="s">
        <v>148</v>
      </c>
      <c r="V48" s="23" t="s">
        <v>6</v>
      </c>
      <c r="W48" s="23" t="s">
        <v>151</v>
      </c>
      <c r="X48" s="23"/>
    </row>
    <row r="49" spans="6:8" x14ac:dyDescent="0.3">
      <c r="F49" s="11" t="s">
        <v>11</v>
      </c>
      <c r="G49" s="11"/>
      <c r="H49" s="11" t="s">
        <v>83</v>
      </c>
    </row>
    <row r="50" spans="6:8" x14ac:dyDescent="0.3">
      <c r="F50" s="14" t="s">
        <v>9</v>
      </c>
      <c r="G50" s="14" t="s">
        <v>76</v>
      </c>
      <c r="H50" s="14" t="s">
        <v>77</v>
      </c>
    </row>
    <row r="51" spans="6:8" x14ac:dyDescent="0.3">
      <c r="F51" s="14" t="s">
        <v>9</v>
      </c>
      <c r="G51" s="14"/>
      <c r="H51" s="14" t="s">
        <v>106</v>
      </c>
    </row>
    <row r="52" spans="6:8" x14ac:dyDescent="0.3">
      <c r="F52" s="14" t="s">
        <v>9</v>
      </c>
      <c r="G52" s="14"/>
      <c r="H52" s="14" t="s">
        <v>107</v>
      </c>
    </row>
    <row r="53" spans="6:8" x14ac:dyDescent="0.3">
      <c r="F53" s="14" t="s">
        <v>9</v>
      </c>
      <c r="G53" s="14"/>
      <c r="H53" s="14" t="s">
        <v>108</v>
      </c>
    </row>
    <row r="54" spans="6:8" x14ac:dyDescent="0.3">
      <c r="F54" s="14" t="s">
        <v>9</v>
      </c>
      <c r="G54" s="14"/>
      <c r="H54" s="14" t="s">
        <v>109</v>
      </c>
    </row>
    <row r="55" spans="6:8" x14ac:dyDescent="0.3">
      <c r="F55" s="14" t="s">
        <v>9</v>
      </c>
      <c r="G55" s="14"/>
      <c r="H55" s="14" t="s">
        <v>110</v>
      </c>
    </row>
    <row r="56" spans="6:8" x14ac:dyDescent="0.3">
      <c r="F56" s="14" t="s">
        <v>9</v>
      </c>
      <c r="G56" s="14"/>
      <c r="H56" s="14" t="s">
        <v>82</v>
      </c>
    </row>
    <row r="57" spans="6:8" x14ac:dyDescent="0.3">
      <c r="F57" s="14" t="s">
        <v>9</v>
      </c>
      <c r="G57" s="14"/>
      <c r="H57" s="14" t="s">
        <v>83</v>
      </c>
    </row>
    <row r="58" spans="6:8" x14ac:dyDescent="0.3">
      <c r="F58" s="14" t="s">
        <v>9</v>
      </c>
      <c r="G58" s="14" t="s">
        <v>79</v>
      </c>
      <c r="H58" s="14" t="s">
        <v>111</v>
      </c>
    </row>
    <row r="59" spans="6:8" x14ac:dyDescent="0.3">
      <c r="F59" s="14" t="s">
        <v>9</v>
      </c>
      <c r="G59" s="14" t="s">
        <v>79</v>
      </c>
      <c r="H59" s="14" t="s">
        <v>80</v>
      </c>
    </row>
    <row r="60" spans="6:8" x14ac:dyDescent="0.3">
      <c r="F60" s="11" t="s">
        <v>10</v>
      </c>
      <c r="G60" s="11" t="s">
        <v>76</v>
      </c>
      <c r="H60" s="11" t="s">
        <v>111</v>
      </c>
    </row>
    <row r="61" spans="6:8" x14ac:dyDescent="0.3">
      <c r="F61" s="11" t="s">
        <v>10</v>
      </c>
      <c r="G61" s="11"/>
      <c r="H61" s="11" t="s">
        <v>112</v>
      </c>
    </row>
    <row r="62" spans="6:8" x14ac:dyDescent="0.3">
      <c r="F62" s="11" t="s">
        <v>10</v>
      </c>
      <c r="G62" s="11"/>
      <c r="H62" s="11" t="s">
        <v>113</v>
      </c>
    </row>
    <row r="63" spans="6:8" x14ac:dyDescent="0.3">
      <c r="F63" s="11" t="s">
        <v>10</v>
      </c>
      <c r="G63" s="11"/>
      <c r="H63" s="11" t="s">
        <v>82</v>
      </c>
    </row>
    <row r="64" spans="6:8" x14ac:dyDescent="0.3">
      <c r="F64" s="11" t="s">
        <v>10</v>
      </c>
      <c r="G64" s="11"/>
      <c r="H64" s="11" t="s">
        <v>83</v>
      </c>
    </row>
    <row r="65" spans="6:8" x14ac:dyDescent="0.3">
      <c r="F65" s="11" t="s">
        <v>10</v>
      </c>
      <c r="G65" s="11" t="s">
        <v>79</v>
      </c>
      <c r="H65" s="11" t="s">
        <v>80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3DC1E-66A9-4A30-9E76-6CA66BB1DF2C}">
  <dimension ref="A1:Y65"/>
  <sheetViews>
    <sheetView tabSelected="1" zoomScale="70" zoomScaleNormal="70" workbookViewId="0">
      <selection activeCell="S11" sqref="S11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6.44140625" bestFit="1" customWidth="1"/>
    <col min="11" max="11" width="10.5546875" bestFit="1" customWidth="1"/>
    <col min="17" max="17" width="10.5546875" style="29" bestFit="1" customWidth="1"/>
    <col min="18" max="18" width="20.44140625" style="29" bestFit="1" customWidth="1"/>
    <col min="19" max="19" width="22.44140625" style="29" bestFit="1" customWidth="1"/>
    <col min="20" max="20" width="17.88671875" style="29" bestFit="1" customWidth="1"/>
    <col min="21" max="24" width="22.33203125" style="29" customWidth="1"/>
    <col min="25" max="25" width="10.33203125" bestFit="1" customWidth="1"/>
  </cols>
  <sheetData>
    <row r="1" spans="1:25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25" t="s">
        <v>119</v>
      </c>
      <c r="R1" s="26" t="s">
        <v>120</v>
      </c>
      <c r="S1" s="25" t="s">
        <v>121</v>
      </c>
      <c r="T1" s="26" t="s">
        <v>133</v>
      </c>
      <c r="U1" s="25" t="s">
        <v>125</v>
      </c>
      <c r="V1" s="26" t="s">
        <v>124</v>
      </c>
      <c r="W1" s="25" t="s">
        <v>135</v>
      </c>
      <c r="X1" s="27" t="s">
        <v>164</v>
      </c>
    </row>
    <row r="2" spans="1:25" x14ac:dyDescent="0.3">
      <c r="A2" s="11" t="s">
        <v>40</v>
      </c>
      <c r="C2" t="str">
        <f>_xlfn.CONCAT($C$1,A2,$D$1)</f>
        <v>model_trans_management.go</v>
      </c>
      <c r="D2" t="s">
        <v>14</v>
      </c>
      <c r="F2" s="14" t="s">
        <v>40</v>
      </c>
      <c r="G2" s="14" t="s">
        <v>76</v>
      </c>
      <c r="H2" s="14" t="s">
        <v>103</v>
      </c>
      <c r="Q2" s="28" t="s">
        <v>202</v>
      </c>
      <c r="R2" s="28" t="s">
        <v>203</v>
      </c>
      <c r="S2" s="28" t="s">
        <v>208</v>
      </c>
      <c r="T2" s="28" t="s">
        <v>40</v>
      </c>
      <c r="U2" s="28" t="s">
        <v>192</v>
      </c>
      <c r="V2" s="28" t="s">
        <v>103</v>
      </c>
      <c r="W2" s="28" t="s">
        <v>103</v>
      </c>
      <c r="X2" s="28"/>
      <c r="Y2" s="20"/>
    </row>
    <row r="3" spans="1:25" x14ac:dyDescent="0.3">
      <c r="A3" s="11" t="s">
        <v>26</v>
      </c>
      <c r="C3" t="str">
        <f t="shared" ref="C3:C9" si="0">_xlfn.CONCAT($C$1,A3,$D$1)</f>
        <v>model_farm.go</v>
      </c>
      <c r="D3" t="s">
        <v>15</v>
      </c>
      <c r="F3" s="14" t="s">
        <v>40</v>
      </c>
      <c r="G3" s="14" t="s">
        <v>76</v>
      </c>
      <c r="H3" s="14" t="s">
        <v>195</v>
      </c>
      <c r="Q3" s="28" t="s">
        <v>202</v>
      </c>
      <c r="R3" s="28" t="s">
        <v>203</v>
      </c>
      <c r="S3" s="28" t="s">
        <v>208</v>
      </c>
      <c r="T3" s="19" t="s">
        <v>26</v>
      </c>
      <c r="U3" s="19" t="s">
        <v>204</v>
      </c>
      <c r="V3" s="19" t="s">
        <v>195</v>
      </c>
      <c r="W3" s="19" t="s">
        <v>195</v>
      </c>
      <c r="X3" s="28"/>
      <c r="Y3" s="31"/>
    </row>
    <row r="4" spans="1:25" x14ac:dyDescent="0.3">
      <c r="A4" s="11" t="s">
        <v>27</v>
      </c>
      <c r="C4" t="str">
        <f t="shared" si="0"/>
        <v>model_farm_area.go</v>
      </c>
      <c r="D4" t="s">
        <v>16</v>
      </c>
      <c r="F4" s="14" t="s">
        <v>40</v>
      </c>
      <c r="G4" s="14" t="s">
        <v>76</v>
      </c>
      <c r="H4" s="14" t="s">
        <v>196</v>
      </c>
      <c r="Q4" s="28" t="s">
        <v>202</v>
      </c>
      <c r="R4" s="28" t="s">
        <v>203</v>
      </c>
      <c r="S4" s="28" t="s">
        <v>208</v>
      </c>
      <c r="T4" s="19" t="s">
        <v>26</v>
      </c>
      <c r="U4" s="19" t="s">
        <v>205</v>
      </c>
      <c r="V4" s="19" t="s">
        <v>197</v>
      </c>
      <c r="W4" s="19" t="s">
        <v>197</v>
      </c>
      <c r="X4" s="28"/>
      <c r="Y4" s="31"/>
    </row>
    <row r="5" spans="1:25" x14ac:dyDescent="0.3">
      <c r="A5" s="11" t="s">
        <v>41</v>
      </c>
      <c r="C5" t="str">
        <f t="shared" si="0"/>
        <v>model_trans_schedule_farm.go</v>
      </c>
      <c r="D5" t="s">
        <v>17</v>
      </c>
      <c r="F5" s="14" t="s">
        <v>40</v>
      </c>
      <c r="G5" s="14" t="s">
        <v>79</v>
      </c>
      <c r="H5" s="14" t="s">
        <v>80</v>
      </c>
      <c r="Q5" s="28" t="s">
        <v>202</v>
      </c>
      <c r="R5" s="28" t="s">
        <v>203</v>
      </c>
      <c r="S5" s="28" t="s">
        <v>208</v>
      </c>
      <c r="T5" s="19" t="s">
        <v>26</v>
      </c>
      <c r="U5" s="19" t="s">
        <v>206</v>
      </c>
      <c r="V5" s="19" t="s">
        <v>198</v>
      </c>
      <c r="W5" s="19" t="s">
        <v>198</v>
      </c>
      <c r="X5" s="28"/>
      <c r="Y5" s="31"/>
    </row>
    <row r="6" spans="1:25" x14ac:dyDescent="0.3">
      <c r="A6" s="11"/>
      <c r="C6" t="str">
        <f t="shared" si="0"/>
        <v>model_.go</v>
      </c>
      <c r="D6" t="s">
        <v>18</v>
      </c>
      <c r="F6" s="14" t="s">
        <v>40</v>
      </c>
      <c r="G6" s="14"/>
      <c r="H6" s="14" t="s">
        <v>82</v>
      </c>
      <c r="Q6" s="30" t="s">
        <v>202</v>
      </c>
      <c r="R6" s="30" t="s">
        <v>207</v>
      </c>
      <c r="S6" s="30" t="s">
        <v>209</v>
      </c>
      <c r="T6" s="30" t="s">
        <v>27</v>
      </c>
      <c r="U6" s="11" t="s">
        <v>204</v>
      </c>
      <c r="V6" s="11" t="s">
        <v>195</v>
      </c>
      <c r="W6" s="11" t="s">
        <v>195</v>
      </c>
      <c r="X6" s="30"/>
      <c r="Y6" s="31"/>
    </row>
    <row r="7" spans="1:25" x14ac:dyDescent="0.3">
      <c r="A7" s="11"/>
      <c r="C7" t="str">
        <f t="shared" si="0"/>
        <v>model_.go</v>
      </c>
      <c r="D7" t="s">
        <v>19</v>
      </c>
      <c r="F7" s="14" t="s">
        <v>40</v>
      </c>
      <c r="G7" s="14"/>
      <c r="H7" s="14" t="s">
        <v>83</v>
      </c>
      <c r="Q7" s="30" t="s">
        <v>202</v>
      </c>
      <c r="R7" s="30" t="s">
        <v>207</v>
      </c>
      <c r="S7" s="30" t="s">
        <v>209</v>
      </c>
      <c r="T7" s="30" t="s">
        <v>27</v>
      </c>
      <c r="U7" s="30" t="s">
        <v>210</v>
      </c>
      <c r="V7" s="30" t="s">
        <v>199</v>
      </c>
      <c r="W7" s="30" t="s">
        <v>199</v>
      </c>
      <c r="X7" s="30"/>
      <c r="Y7" s="31"/>
    </row>
    <row r="8" spans="1:25" x14ac:dyDescent="0.3">
      <c r="A8" s="11"/>
      <c r="C8" t="str">
        <f t="shared" si="0"/>
        <v>model_.go</v>
      </c>
      <c r="D8" t="s">
        <v>20</v>
      </c>
      <c r="F8" s="11" t="s">
        <v>26</v>
      </c>
      <c r="G8" s="11" t="s">
        <v>76</v>
      </c>
      <c r="H8" s="11" t="s">
        <v>195</v>
      </c>
      <c r="Q8" s="30" t="s">
        <v>202</v>
      </c>
      <c r="R8" s="30" t="s">
        <v>207</v>
      </c>
      <c r="S8" s="30" t="s">
        <v>209</v>
      </c>
      <c r="T8" s="30" t="s">
        <v>27</v>
      </c>
      <c r="U8" s="30" t="s">
        <v>211</v>
      </c>
      <c r="V8" s="30" t="s">
        <v>200</v>
      </c>
      <c r="W8" s="30" t="s">
        <v>200</v>
      </c>
      <c r="X8" s="30"/>
      <c r="Y8" s="31"/>
    </row>
    <row r="9" spans="1:25" x14ac:dyDescent="0.3">
      <c r="A9" s="13"/>
      <c r="C9" t="str">
        <f t="shared" si="0"/>
        <v>model_.go</v>
      </c>
      <c r="D9" t="s">
        <v>21</v>
      </c>
      <c r="F9" s="11" t="s">
        <v>26</v>
      </c>
      <c r="G9" s="11"/>
      <c r="H9" s="11" t="s">
        <v>197</v>
      </c>
      <c r="Q9" s="30" t="s">
        <v>202</v>
      </c>
      <c r="R9" s="30" t="s">
        <v>207</v>
      </c>
      <c r="S9" s="30" t="s">
        <v>209</v>
      </c>
      <c r="T9" s="30" t="s">
        <v>27</v>
      </c>
      <c r="U9" s="30" t="s">
        <v>139</v>
      </c>
      <c r="V9" s="30" t="s">
        <v>78</v>
      </c>
      <c r="W9" s="30" t="s">
        <v>78</v>
      </c>
      <c r="X9" s="30"/>
      <c r="Y9" s="31"/>
    </row>
    <row r="10" spans="1:25" x14ac:dyDescent="0.3">
      <c r="F10" s="11" t="s">
        <v>26</v>
      </c>
      <c r="G10" s="11"/>
      <c r="H10" s="11" t="s">
        <v>198</v>
      </c>
      <c r="Q10" s="30" t="s">
        <v>202</v>
      </c>
      <c r="R10" s="30" t="s">
        <v>207</v>
      </c>
      <c r="S10" s="30" t="s">
        <v>209</v>
      </c>
      <c r="T10" s="30" t="s">
        <v>4</v>
      </c>
      <c r="U10" s="30" t="s">
        <v>142</v>
      </c>
      <c r="V10" s="30" t="s">
        <v>84</v>
      </c>
      <c r="W10" s="30" t="s">
        <v>84</v>
      </c>
      <c r="X10" s="30"/>
      <c r="Y10" s="31"/>
    </row>
    <row r="11" spans="1:25" x14ac:dyDescent="0.3">
      <c r="F11" s="11" t="s">
        <v>26</v>
      </c>
      <c r="G11" s="11"/>
      <c r="H11" s="11" t="s">
        <v>82</v>
      </c>
      <c r="Q11" s="30" t="s">
        <v>202</v>
      </c>
      <c r="R11" s="30" t="s">
        <v>207</v>
      </c>
      <c r="S11" s="30" t="s">
        <v>209</v>
      </c>
      <c r="T11" s="30" t="s">
        <v>4</v>
      </c>
      <c r="U11" s="30" t="s">
        <v>141</v>
      </c>
      <c r="V11" s="30" t="s">
        <v>85</v>
      </c>
      <c r="W11" s="30" t="s">
        <v>85</v>
      </c>
      <c r="X11" s="30"/>
      <c r="Y11" s="31"/>
    </row>
    <row r="12" spans="1:25" x14ac:dyDescent="0.3">
      <c r="F12" s="11" t="s">
        <v>26</v>
      </c>
      <c r="G12" s="11"/>
      <c r="H12" s="11" t="s">
        <v>83</v>
      </c>
      <c r="Q12" s="28"/>
      <c r="R12" s="28"/>
      <c r="S12" s="28"/>
      <c r="T12" s="28"/>
      <c r="U12" s="28"/>
      <c r="V12" s="28"/>
      <c r="W12" s="28"/>
      <c r="X12" s="28"/>
      <c r="Y12" s="31"/>
    </row>
    <row r="13" spans="1:25" x14ac:dyDescent="0.3">
      <c r="F13" s="11" t="s">
        <v>26</v>
      </c>
      <c r="G13" s="11" t="s">
        <v>79</v>
      </c>
      <c r="H13" s="11" t="s">
        <v>80</v>
      </c>
      <c r="Q13" s="28"/>
      <c r="R13" s="28"/>
      <c r="S13" s="28"/>
      <c r="T13" s="28"/>
      <c r="U13" s="28"/>
      <c r="V13" s="28"/>
      <c r="W13" s="28"/>
      <c r="X13" s="28"/>
      <c r="Y13" s="31"/>
    </row>
    <row r="14" spans="1:25" x14ac:dyDescent="0.3">
      <c r="F14" s="14" t="s">
        <v>27</v>
      </c>
      <c r="G14" s="14" t="s">
        <v>76</v>
      </c>
      <c r="H14" s="14" t="s">
        <v>199</v>
      </c>
      <c r="Q14" s="28"/>
      <c r="R14" s="28"/>
      <c r="S14" s="28"/>
      <c r="T14" s="28"/>
      <c r="U14" s="28"/>
      <c r="V14" s="28"/>
      <c r="W14" s="28"/>
      <c r="X14" s="28"/>
      <c r="Y14" s="31"/>
    </row>
    <row r="15" spans="1:25" x14ac:dyDescent="0.3">
      <c r="F15" s="14" t="s">
        <v>27</v>
      </c>
      <c r="G15" s="14"/>
      <c r="H15" s="14" t="s">
        <v>200</v>
      </c>
      <c r="Q15" s="28"/>
      <c r="R15" s="28"/>
      <c r="S15" s="28"/>
      <c r="T15" s="28"/>
      <c r="U15" s="28"/>
      <c r="V15" s="28"/>
      <c r="W15" s="28"/>
      <c r="X15" s="28"/>
      <c r="Y15" s="31"/>
    </row>
    <row r="16" spans="1:25" x14ac:dyDescent="0.3">
      <c r="F16" s="14" t="s">
        <v>27</v>
      </c>
      <c r="G16" s="14"/>
      <c r="H16" s="14" t="s">
        <v>82</v>
      </c>
      <c r="Q16" s="30"/>
      <c r="R16" s="30"/>
      <c r="S16" s="30"/>
      <c r="T16" s="30"/>
      <c r="U16" s="30"/>
      <c r="V16" s="30"/>
      <c r="W16" s="30"/>
      <c r="X16" s="30"/>
      <c r="Y16" s="31"/>
    </row>
    <row r="17" spans="6:25" x14ac:dyDescent="0.3">
      <c r="F17" s="14" t="s">
        <v>27</v>
      </c>
      <c r="G17" s="14"/>
      <c r="H17" s="14" t="s">
        <v>83</v>
      </c>
      <c r="Q17" s="30"/>
      <c r="R17" s="30"/>
      <c r="S17" s="30"/>
      <c r="T17" s="30"/>
      <c r="U17" s="30"/>
      <c r="V17" s="30"/>
      <c r="W17" s="30"/>
      <c r="X17" s="30"/>
      <c r="Y17" s="31"/>
    </row>
    <row r="18" spans="6:25" x14ac:dyDescent="0.3">
      <c r="F18" s="14" t="s">
        <v>27</v>
      </c>
      <c r="G18" s="14" t="s">
        <v>79</v>
      </c>
      <c r="H18" s="14" t="s">
        <v>195</v>
      </c>
      <c r="Q18" s="30"/>
      <c r="R18" s="30"/>
      <c r="S18" s="30"/>
      <c r="T18" s="30"/>
      <c r="U18" s="30"/>
      <c r="V18" s="30"/>
      <c r="W18" s="30"/>
      <c r="X18" s="30"/>
      <c r="Y18" s="31"/>
    </row>
    <row r="19" spans="6:25" x14ac:dyDescent="0.3">
      <c r="F19" s="14" t="s">
        <v>27</v>
      </c>
      <c r="G19" s="14" t="s">
        <v>79</v>
      </c>
      <c r="H19" s="14" t="s">
        <v>78</v>
      </c>
      <c r="Q19" s="30"/>
      <c r="R19" s="30"/>
      <c r="S19" s="30"/>
      <c r="T19" s="30"/>
      <c r="U19" s="30"/>
      <c r="V19" s="30"/>
      <c r="W19" s="30"/>
      <c r="X19" s="30"/>
      <c r="Y19" s="31"/>
    </row>
    <row r="20" spans="6:25" x14ac:dyDescent="0.3">
      <c r="F20" s="14" t="s">
        <v>27</v>
      </c>
      <c r="G20" s="14" t="s">
        <v>79</v>
      </c>
      <c r="H20" s="14" t="s">
        <v>80</v>
      </c>
      <c r="Q20" s="30"/>
      <c r="R20" s="30"/>
      <c r="S20" s="30"/>
      <c r="T20" s="30"/>
      <c r="U20" s="30"/>
      <c r="V20" s="30"/>
      <c r="W20" s="30"/>
      <c r="X20" s="30"/>
      <c r="Y20" s="31"/>
    </row>
    <row r="21" spans="6:25" x14ac:dyDescent="0.3">
      <c r="F21" s="11" t="s">
        <v>41</v>
      </c>
      <c r="G21" s="11" t="s">
        <v>76</v>
      </c>
      <c r="H21" s="11" t="s">
        <v>195</v>
      </c>
      <c r="Q21" s="30"/>
      <c r="R21" s="30"/>
      <c r="S21" s="30"/>
      <c r="T21" s="30"/>
      <c r="U21" s="30"/>
      <c r="V21" s="30"/>
      <c r="W21" s="30"/>
      <c r="X21" s="30"/>
      <c r="Y21" s="31"/>
    </row>
    <row r="22" spans="6:25" x14ac:dyDescent="0.3">
      <c r="F22" s="13" t="s">
        <v>41</v>
      </c>
      <c r="G22" s="13" t="s">
        <v>76</v>
      </c>
      <c r="H22" s="13" t="s">
        <v>201</v>
      </c>
      <c r="Q22" s="30"/>
      <c r="R22" s="30"/>
      <c r="S22" s="30"/>
      <c r="T22" s="30"/>
      <c r="U22" s="30"/>
      <c r="V22" s="30"/>
      <c r="W22" s="30"/>
      <c r="X22" s="30"/>
      <c r="Y22" s="31"/>
    </row>
    <row r="23" spans="6:25" x14ac:dyDescent="0.3">
      <c r="F23" s="13" t="s">
        <v>41</v>
      </c>
      <c r="G23" s="13"/>
      <c r="H23" s="13" t="s">
        <v>82</v>
      </c>
      <c r="Q23" s="30"/>
      <c r="R23" s="30"/>
      <c r="S23" s="30"/>
      <c r="T23" s="30"/>
      <c r="U23" s="30"/>
      <c r="V23" s="30"/>
      <c r="W23" s="30"/>
      <c r="X23" s="30"/>
      <c r="Y23" s="31"/>
    </row>
    <row r="24" spans="6:25" x14ac:dyDescent="0.3">
      <c r="F24" s="13" t="s">
        <v>41</v>
      </c>
      <c r="G24" s="13"/>
      <c r="H24" s="24" t="s">
        <v>83</v>
      </c>
      <c r="Q24" s="30"/>
      <c r="R24" s="30"/>
      <c r="S24" s="30"/>
      <c r="T24" s="30"/>
      <c r="U24" s="30"/>
      <c r="V24" s="30"/>
      <c r="W24" s="30"/>
      <c r="X24" s="30"/>
      <c r="Y24" s="31"/>
    </row>
    <row r="25" spans="6:25" x14ac:dyDescent="0.3">
      <c r="F25" s="13" t="s">
        <v>41</v>
      </c>
      <c r="G25" s="13" t="s">
        <v>79</v>
      </c>
      <c r="H25" s="24" t="s">
        <v>80</v>
      </c>
      <c r="Q25" s="30"/>
      <c r="R25" s="30"/>
      <c r="S25" s="30"/>
      <c r="T25" s="30"/>
      <c r="U25" s="30"/>
      <c r="V25" s="30"/>
      <c r="W25" s="30"/>
      <c r="X25" s="30"/>
      <c r="Y25" s="31"/>
    </row>
    <row r="26" spans="6:25" x14ac:dyDescent="0.3">
      <c r="F26" s="14" t="s">
        <v>4</v>
      </c>
      <c r="G26" s="14" t="s">
        <v>76</v>
      </c>
      <c r="H26" s="14" t="s">
        <v>78</v>
      </c>
      <c r="Q26" s="30"/>
      <c r="R26" s="30"/>
      <c r="S26" s="30"/>
      <c r="T26" s="30"/>
      <c r="U26" s="30"/>
      <c r="V26" s="30"/>
      <c r="W26" s="30"/>
      <c r="X26" s="30"/>
      <c r="Y26" s="31"/>
    </row>
    <row r="27" spans="6:25" x14ac:dyDescent="0.3">
      <c r="F27" s="14" t="s">
        <v>4</v>
      </c>
      <c r="G27" s="14"/>
      <c r="H27" s="14" t="s">
        <v>84</v>
      </c>
      <c r="Q27" s="30"/>
      <c r="R27" s="30"/>
      <c r="S27" s="30"/>
      <c r="T27" s="30"/>
      <c r="U27" s="30"/>
      <c r="V27" s="30"/>
      <c r="W27" s="30"/>
      <c r="X27" s="30"/>
      <c r="Y27" s="31"/>
    </row>
    <row r="28" spans="6:25" x14ac:dyDescent="0.3">
      <c r="F28" s="14" t="s">
        <v>4</v>
      </c>
      <c r="G28" s="14"/>
      <c r="H28" s="14" t="s">
        <v>85</v>
      </c>
      <c r="Q28" s="30"/>
      <c r="R28" s="30"/>
      <c r="S28" s="30"/>
      <c r="T28" s="30"/>
      <c r="U28" s="30"/>
      <c r="V28" s="30"/>
      <c r="W28" s="30"/>
      <c r="X28" s="30"/>
      <c r="Y28" s="31"/>
    </row>
    <row r="29" spans="6:25" x14ac:dyDescent="0.3">
      <c r="F29" s="14" t="s">
        <v>4</v>
      </c>
      <c r="G29" s="14"/>
      <c r="H29" s="14" t="s">
        <v>86</v>
      </c>
      <c r="Q29" s="30"/>
      <c r="R29" s="30"/>
      <c r="S29" s="30"/>
      <c r="T29" s="30"/>
      <c r="U29" s="30"/>
      <c r="V29" s="30"/>
      <c r="W29" s="30"/>
      <c r="X29" s="30"/>
      <c r="Y29" s="31"/>
    </row>
    <row r="30" spans="6:25" x14ac:dyDescent="0.3">
      <c r="F30" s="14" t="s">
        <v>4</v>
      </c>
      <c r="G30" s="14"/>
      <c r="H30" s="14" t="s">
        <v>87</v>
      </c>
      <c r="Q30" s="30"/>
      <c r="R30" s="30"/>
      <c r="S30" s="30"/>
      <c r="T30" s="30"/>
      <c r="U30" s="30"/>
      <c r="V30" s="30"/>
      <c r="W30" s="30"/>
      <c r="X30" s="30"/>
      <c r="Y30" s="31"/>
    </row>
    <row r="31" spans="6:25" x14ac:dyDescent="0.3">
      <c r="F31" s="14" t="s">
        <v>4</v>
      </c>
      <c r="G31" s="14"/>
      <c r="H31" s="14" t="s">
        <v>88</v>
      </c>
      <c r="Q31" s="30"/>
      <c r="R31" s="30"/>
      <c r="S31" s="30"/>
      <c r="T31" s="30"/>
      <c r="U31" s="30"/>
      <c r="V31" s="30"/>
      <c r="W31" s="30"/>
      <c r="X31" s="30"/>
      <c r="Y31" s="31"/>
    </row>
    <row r="32" spans="6:25" x14ac:dyDescent="0.3">
      <c r="F32" s="14" t="s">
        <v>4</v>
      </c>
      <c r="G32" s="14"/>
      <c r="H32" s="14" t="s">
        <v>89</v>
      </c>
      <c r="Q32" s="30"/>
      <c r="R32" s="30"/>
      <c r="S32" s="30"/>
      <c r="T32" s="30"/>
      <c r="U32" s="30"/>
      <c r="V32" s="30"/>
      <c r="W32" s="30"/>
      <c r="X32" s="30"/>
      <c r="Y32" s="31"/>
    </row>
    <row r="33" spans="6:25" x14ac:dyDescent="0.3">
      <c r="F33" s="14" t="s">
        <v>4</v>
      </c>
      <c r="G33" s="14"/>
      <c r="H33" s="14" t="s">
        <v>90</v>
      </c>
      <c r="Q33" s="30"/>
      <c r="R33" s="30"/>
      <c r="S33" s="30"/>
      <c r="T33" s="30"/>
      <c r="U33" s="30"/>
      <c r="V33" s="30"/>
      <c r="W33" s="30"/>
      <c r="X33" s="30"/>
      <c r="Y33" s="31"/>
    </row>
    <row r="34" spans="6:25" x14ac:dyDescent="0.3">
      <c r="F34" s="14" t="s">
        <v>4</v>
      </c>
      <c r="G34" s="14"/>
      <c r="H34" s="14" t="s">
        <v>91</v>
      </c>
      <c r="Q34" s="30"/>
      <c r="R34" s="30"/>
      <c r="S34" s="30"/>
      <c r="T34" s="30"/>
      <c r="U34" s="30"/>
      <c r="V34" s="30"/>
      <c r="W34" s="30"/>
      <c r="X34" s="30"/>
      <c r="Y34" s="31"/>
    </row>
    <row r="35" spans="6:25" x14ac:dyDescent="0.3">
      <c r="F35" s="14" t="s">
        <v>4</v>
      </c>
      <c r="G35" s="14"/>
      <c r="H35" s="14" t="s">
        <v>82</v>
      </c>
      <c r="Q35" s="30"/>
      <c r="R35" s="30"/>
      <c r="S35" s="30"/>
      <c r="T35" s="30"/>
      <c r="U35" s="30"/>
      <c r="V35" s="30"/>
      <c r="W35" s="30"/>
      <c r="X35" s="30"/>
      <c r="Y35" s="31"/>
    </row>
    <row r="36" spans="6:25" x14ac:dyDescent="0.3">
      <c r="F36" s="14" t="s">
        <v>4</v>
      </c>
      <c r="G36" s="14"/>
      <c r="H36" s="14" t="s">
        <v>83</v>
      </c>
      <c r="Q36" s="30"/>
      <c r="R36" s="30"/>
      <c r="S36" s="30"/>
      <c r="T36" s="30"/>
      <c r="U36" s="30"/>
      <c r="V36" s="30"/>
      <c r="W36" s="30"/>
      <c r="X36" s="30"/>
      <c r="Y36" s="31"/>
    </row>
    <row r="37" spans="6:25" x14ac:dyDescent="0.3">
      <c r="F37" s="14" t="s">
        <v>4</v>
      </c>
      <c r="G37" s="14" t="s">
        <v>79</v>
      </c>
      <c r="H37" s="14" t="s">
        <v>92</v>
      </c>
      <c r="Q37" s="30"/>
      <c r="R37" s="30"/>
      <c r="S37" s="30"/>
      <c r="T37" s="30"/>
      <c r="U37" s="30"/>
      <c r="V37" s="30"/>
      <c r="W37" s="30"/>
      <c r="X37" s="30"/>
      <c r="Y37" s="31"/>
    </row>
    <row r="38" spans="6:25" x14ac:dyDescent="0.3">
      <c r="F38" s="14" t="s">
        <v>4</v>
      </c>
      <c r="G38" s="14" t="s">
        <v>79</v>
      </c>
      <c r="H38" s="14" t="s">
        <v>80</v>
      </c>
      <c r="Q38" s="30"/>
      <c r="R38" s="30"/>
      <c r="S38" s="30"/>
      <c r="T38" s="30"/>
      <c r="U38" s="30"/>
      <c r="V38" s="30"/>
      <c r="W38" s="30"/>
      <c r="X38" s="30"/>
      <c r="Y38" s="31"/>
    </row>
    <row r="39" spans="6:25" x14ac:dyDescent="0.3">
      <c r="F39" s="14" t="s">
        <v>4</v>
      </c>
      <c r="G39" s="14" t="s">
        <v>79</v>
      </c>
      <c r="H39" s="14" t="s">
        <v>93</v>
      </c>
      <c r="Q39" s="30"/>
      <c r="R39" s="30"/>
      <c r="S39" s="30"/>
      <c r="T39" s="30"/>
      <c r="U39" s="30"/>
      <c r="V39" s="30"/>
      <c r="W39" s="30"/>
      <c r="X39" s="30"/>
      <c r="Y39" s="31"/>
    </row>
    <row r="40" spans="6:25" x14ac:dyDescent="0.3">
      <c r="F40" s="14" t="s">
        <v>4</v>
      </c>
      <c r="G40" s="14" t="s">
        <v>79</v>
      </c>
      <c r="H40" s="14" t="s">
        <v>94</v>
      </c>
      <c r="Q40" s="30"/>
      <c r="R40" s="30"/>
      <c r="S40" s="30"/>
      <c r="T40" s="30"/>
      <c r="U40" s="30"/>
      <c r="V40" s="30"/>
      <c r="W40" s="30"/>
      <c r="X40" s="30"/>
      <c r="Y40" s="31"/>
    </row>
    <row r="41" spans="6:25" x14ac:dyDescent="0.3">
      <c r="F41" s="14" t="s">
        <v>4</v>
      </c>
      <c r="G41" s="14"/>
      <c r="H41" s="14" t="s">
        <v>95</v>
      </c>
      <c r="Q41" s="30"/>
      <c r="R41" s="30"/>
      <c r="S41" s="30"/>
      <c r="T41" s="30"/>
      <c r="U41" s="30"/>
      <c r="V41" s="30"/>
      <c r="W41" s="30"/>
      <c r="X41" s="30"/>
      <c r="Y41" s="31"/>
    </row>
    <row r="42" spans="6:25" x14ac:dyDescent="0.3">
      <c r="F42" s="13"/>
      <c r="G42" s="13"/>
      <c r="H42" s="13"/>
      <c r="Q42" s="30"/>
      <c r="R42" s="30"/>
      <c r="S42" s="30"/>
      <c r="T42" s="30"/>
      <c r="U42" s="30"/>
      <c r="V42" s="30"/>
      <c r="W42" s="30"/>
      <c r="X42" s="30"/>
      <c r="Y42" s="31"/>
    </row>
    <row r="43" spans="6:25" x14ac:dyDescent="0.3">
      <c r="F43" s="13"/>
      <c r="G43" s="13"/>
      <c r="H43" s="13"/>
      <c r="Q43" s="30"/>
      <c r="R43" s="30"/>
      <c r="S43" s="30"/>
      <c r="T43" s="30"/>
      <c r="U43" s="30"/>
      <c r="V43" s="30"/>
      <c r="W43" s="30"/>
      <c r="X43" s="30"/>
      <c r="Y43" s="31"/>
    </row>
    <row r="44" spans="6:25" x14ac:dyDescent="0.3">
      <c r="F44" s="13"/>
      <c r="G44" s="13"/>
      <c r="H44" s="13"/>
      <c r="Q44" s="30"/>
      <c r="R44" s="30"/>
      <c r="S44" s="30"/>
      <c r="T44" s="30"/>
      <c r="U44" s="30"/>
      <c r="V44" s="30"/>
      <c r="W44" s="30"/>
      <c r="X44" s="30"/>
      <c r="Y44" s="31"/>
    </row>
    <row r="45" spans="6:25" x14ac:dyDescent="0.3">
      <c r="F45" s="13"/>
      <c r="G45" s="13"/>
      <c r="H45" s="13"/>
      <c r="Q45" s="30"/>
      <c r="R45" s="30"/>
      <c r="S45" s="30"/>
      <c r="T45" s="30"/>
      <c r="U45" s="30"/>
      <c r="V45" s="30"/>
      <c r="W45" s="30"/>
      <c r="X45" s="30"/>
      <c r="Y45" s="31"/>
    </row>
    <row r="46" spans="6:25" x14ac:dyDescent="0.3">
      <c r="F46" s="13"/>
      <c r="G46" s="13"/>
      <c r="H46" s="13"/>
      <c r="Q46" s="30"/>
      <c r="R46" s="30"/>
      <c r="S46" s="30"/>
      <c r="T46" s="30"/>
      <c r="U46" s="30"/>
      <c r="V46" s="30"/>
      <c r="W46" s="30"/>
      <c r="X46" s="30"/>
      <c r="Y46" s="31"/>
    </row>
    <row r="47" spans="6:25" x14ac:dyDescent="0.3">
      <c r="F47" s="13"/>
      <c r="G47" s="13"/>
      <c r="H47" s="13"/>
      <c r="Q47" s="30"/>
      <c r="R47" s="30"/>
      <c r="S47" s="30"/>
      <c r="T47" s="30"/>
      <c r="U47" s="30"/>
      <c r="V47" s="30"/>
      <c r="W47" s="30"/>
      <c r="X47" s="30"/>
      <c r="Y47" s="31"/>
    </row>
    <row r="48" spans="6:25" x14ac:dyDescent="0.3">
      <c r="F48" s="13"/>
      <c r="G48" s="13"/>
      <c r="H48" s="13"/>
      <c r="Q48" s="30"/>
      <c r="R48" s="30"/>
      <c r="S48" s="30"/>
      <c r="T48" s="30"/>
      <c r="U48" s="30"/>
      <c r="V48" s="30"/>
      <c r="W48" s="30"/>
      <c r="X48" s="30"/>
      <c r="Y48" s="31"/>
    </row>
    <row r="49" spans="6:25" x14ac:dyDescent="0.3">
      <c r="F49" s="13"/>
      <c r="G49" s="13"/>
      <c r="H49" s="13"/>
      <c r="Q49" s="30"/>
      <c r="R49" s="30"/>
      <c r="S49" s="30"/>
      <c r="T49" s="30"/>
      <c r="U49" s="30"/>
      <c r="V49" s="30"/>
      <c r="W49" s="30"/>
      <c r="X49" s="30"/>
      <c r="Y49" s="31"/>
    </row>
    <row r="50" spans="6:25" x14ac:dyDescent="0.3">
      <c r="F50" s="13"/>
      <c r="G50" s="13"/>
      <c r="H50" s="13"/>
      <c r="Q50" s="30"/>
      <c r="R50" s="30"/>
      <c r="S50" s="30"/>
      <c r="T50" s="30"/>
      <c r="U50" s="30"/>
      <c r="V50" s="30"/>
      <c r="W50" s="30"/>
      <c r="X50" s="30"/>
      <c r="Y50" s="31"/>
    </row>
    <row r="51" spans="6:25" x14ac:dyDescent="0.3">
      <c r="F51" s="13"/>
      <c r="G51" s="13"/>
      <c r="H51" s="13"/>
      <c r="Q51" s="30"/>
      <c r="R51" s="30"/>
      <c r="S51" s="30"/>
      <c r="T51" s="30"/>
      <c r="U51" s="30"/>
      <c r="V51" s="30"/>
      <c r="W51" s="30"/>
      <c r="X51" s="30"/>
      <c r="Y51" s="31"/>
    </row>
    <row r="52" spans="6:25" x14ac:dyDescent="0.3">
      <c r="F52" s="13"/>
      <c r="G52" s="13"/>
      <c r="H52" s="13"/>
      <c r="Q52" s="30"/>
      <c r="R52" s="30"/>
      <c r="S52" s="30"/>
      <c r="T52" s="30"/>
      <c r="U52" s="30"/>
      <c r="V52" s="30"/>
      <c r="W52" s="30"/>
      <c r="X52" s="30"/>
      <c r="Y52" s="31"/>
    </row>
    <row r="53" spans="6:25" x14ac:dyDescent="0.3">
      <c r="F53" s="13"/>
      <c r="G53" s="13"/>
      <c r="H53" s="13"/>
      <c r="Q53" s="30"/>
      <c r="R53" s="30"/>
      <c r="S53" s="30"/>
      <c r="T53" s="30"/>
      <c r="U53" s="30"/>
      <c r="V53" s="30"/>
      <c r="W53" s="30"/>
      <c r="X53" s="30"/>
      <c r="Y53" s="31"/>
    </row>
    <row r="54" spans="6:25" x14ac:dyDescent="0.3">
      <c r="F54" s="13"/>
      <c r="G54" s="13"/>
      <c r="H54" s="13"/>
      <c r="Q54" s="30"/>
      <c r="R54" s="30"/>
      <c r="S54" s="30"/>
      <c r="T54" s="30"/>
      <c r="U54" s="30"/>
      <c r="V54" s="30"/>
      <c r="W54" s="30"/>
      <c r="X54" s="30"/>
      <c r="Y54" s="31"/>
    </row>
    <row r="55" spans="6:25" x14ac:dyDescent="0.3">
      <c r="F55" s="13"/>
      <c r="G55" s="13"/>
      <c r="H55" s="13"/>
      <c r="Q55" s="30"/>
      <c r="R55" s="30"/>
      <c r="S55" s="30"/>
      <c r="T55" s="30"/>
      <c r="U55" s="30"/>
      <c r="V55" s="30"/>
      <c r="W55" s="30"/>
      <c r="X55" s="30"/>
      <c r="Y55" s="31"/>
    </row>
    <row r="56" spans="6:25" x14ac:dyDescent="0.3">
      <c r="F56" s="13"/>
      <c r="G56" s="13"/>
      <c r="H56" s="13"/>
      <c r="Q56" s="30"/>
      <c r="R56" s="30"/>
      <c r="S56" s="30"/>
      <c r="T56" s="30"/>
      <c r="U56" s="30"/>
      <c r="V56" s="30"/>
      <c r="W56" s="30"/>
      <c r="X56" s="30"/>
      <c r="Y56" s="31"/>
    </row>
    <row r="57" spans="6:25" x14ac:dyDescent="0.3">
      <c r="F57" s="13"/>
      <c r="G57" s="13"/>
      <c r="H57" s="13"/>
      <c r="Q57" s="30"/>
      <c r="R57" s="30"/>
      <c r="S57" s="30"/>
      <c r="T57" s="30"/>
      <c r="U57" s="30"/>
      <c r="V57" s="30"/>
      <c r="W57" s="30"/>
      <c r="X57" s="30"/>
      <c r="Y57" s="31"/>
    </row>
    <row r="58" spans="6:25" x14ac:dyDescent="0.3">
      <c r="F58" s="13"/>
      <c r="G58" s="13"/>
      <c r="H58" s="13"/>
      <c r="Q58" s="30"/>
      <c r="R58" s="30"/>
      <c r="S58" s="30"/>
      <c r="T58" s="30"/>
      <c r="U58" s="30"/>
      <c r="V58" s="30"/>
      <c r="W58" s="30"/>
      <c r="X58" s="30"/>
      <c r="Y58" s="31"/>
    </row>
    <row r="59" spans="6:25" x14ac:dyDescent="0.3">
      <c r="F59" s="13"/>
      <c r="G59" s="13"/>
      <c r="H59" s="13"/>
      <c r="Q59" s="30"/>
      <c r="R59" s="30"/>
      <c r="S59" s="30"/>
      <c r="T59" s="30"/>
      <c r="U59" s="30"/>
      <c r="V59" s="30"/>
      <c r="W59" s="30"/>
      <c r="X59" s="30"/>
      <c r="Y59" s="31"/>
    </row>
    <row r="60" spans="6:25" x14ac:dyDescent="0.3">
      <c r="F60" s="13"/>
      <c r="G60" s="13"/>
      <c r="H60" s="13"/>
      <c r="Q60" s="30"/>
      <c r="R60" s="30"/>
      <c r="S60" s="30"/>
      <c r="T60" s="30"/>
      <c r="U60" s="30"/>
      <c r="V60" s="30"/>
      <c r="W60" s="30"/>
      <c r="X60" s="30"/>
      <c r="Y60" s="31"/>
    </row>
    <row r="61" spans="6:25" x14ac:dyDescent="0.3">
      <c r="F61" s="13"/>
      <c r="G61" s="13"/>
      <c r="H61" s="13"/>
      <c r="Q61" s="30"/>
      <c r="R61" s="30"/>
      <c r="S61" s="30"/>
      <c r="T61" s="30"/>
      <c r="U61" s="30"/>
      <c r="V61" s="30"/>
      <c r="W61" s="30"/>
      <c r="X61" s="30"/>
      <c r="Y61" s="31"/>
    </row>
    <row r="62" spans="6:25" x14ac:dyDescent="0.3">
      <c r="F62" s="13"/>
      <c r="G62" s="13"/>
      <c r="H62" s="13"/>
      <c r="Q62" s="30"/>
      <c r="R62" s="30"/>
      <c r="S62" s="30"/>
      <c r="T62" s="30"/>
      <c r="U62" s="30"/>
      <c r="V62" s="30"/>
      <c r="W62" s="30"/>
      <c r="X62" s="30"/>
      <c r="Y62" s="31"/>
    </row>
    <row r="63" spans="6:25" x14ac:dyDescent="0.3">
      <c r="F63" s="13"/>
      <c r="G63" s="13"/>
      <c r="H63" s="13"/>
    </row>
    <row r="64" spans="6:25" x14ac:dyDescent="0.3">
      <c r="F64" s="11"/>
      <c r="G64" s="11"/>
      <c r="H64" s="11"/>
    </row>
    <row r="65" spans="6:8" x14ac:dyDescent="0.3">
      <c r="F65" s="11"/>
      <c r="G65" s="11"/>
      <c r="H65" s="11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7E715-11A1-443F-AA96-D5CC0D8D1F6D}">
  <dimension ref="A1:AH68"/>
  <sheetViews>
    <sheetView zoomScale="40" zoomScaleNormal="40" workbookViewId="0">
      <selection activeCell="A2" sqref="A2:AH68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5.109375" bestFit="1" customWidth="1"/>
    <col min="11" max="11" width="10.5546875" bestFit="1" customWidth="1"/>
    <col min="17" max="17" width="10.5546875" style="29" bestFit="1" customWidth="1"/>
    <col min="18" max="18" width="20.44140625" style="29" bestFit="1" customWidth="1"/>
    <col min="19" max="20" width="14.6640625" style="29" customWidth="1"/>
    <col min="21" max="24" width="22.33203125" style="29" customWidth="1"/>
    <col min="25" max="25" width="10.33203125" bestFit="1" customWidth="1"/>
  </cols>
  <sheetData>
    <row r="1" spans="1:34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25" t="s">
        <v>119</v>
      </c>
      <c r="R1" s="26" t="s">
        <v>120</v>
      </c>
      <c r="S1" s="25" t="s">
        <v>121</v>
      </c>
      <c r="T1" s="26" t="s">
        <v>133</v>
      </c>
      <c r="U1" s="25" t="s">
        <v>125</v>
      </c>
      <c r="V1" s="26" t="s">
        <v>124</v>
      </c>
      <c r="W1" s="25" t="s">
        <v>135</v>
      </c>
      <c r="X1" s="27" t="s">
        <v>164</v>
      </c>
    </row>
    <row r="2" spans="1:34" x14ac:dyDescent="0.3">
      <c r="A2" s="13"/>
      <c r="B2" s="31"/>
      <c r="C2" s="31" t="str">
        <f>_xlfn.CONCAT($C$1,A2,$D$1)</f>
        <v>model_.go</v>
      </c>
      <c r="D2" s="31" t="s">
        <v>14</v>
      </c>
      <c r="E2" s="31"/>
      <c r="F2" s="13"/>
      <c r="G2" s="13"/>
      <c r="H2" s="13"/>
      <c r="I2" s="31"/>
      <c r="J2" s="31"/>
      <c r="K2" s="31"/>
      <c r="L2" s="31"/>
      <c r="M2" s="31"/>
      <c r="N2" s="31"/>
      <c r="O2" s="31"/>
      <c r="P2" s="31"/>
      <c r="Q2" s="30"/>
      <c r="R2" s="30"/>
      <c r="S2" s="30"/>
      <c r="T2" s="30"/>
      <c r="U2" s="30"/>
      <c r="V2" s="30"/>
      <c r="W2" s="30"/>
      <c r="X2" s="30"/>
      <c r="Y2" s="20" t="s">
        <v>123</v>
      </c>
      <c r="Z2" s="31"/>
      <c r="AA2" s="31"/>
      <c r="AB2" s="31"/>
      <c r="AC2" s="31"/>
      <c r="AD2" s="31"/>
      <c r="AE2" s="31"/>
      <c r="AF2" s="31"/>
      <c r="AG2" s="31"/>
      <c r="AH2" s="31"/>
    </row>
    <row r="3" spans="1:34" x14ac:dyDescent="0.3">
      <c r="A3" s="13"/>
      <c r="B3" s="31"/>
      <c r="C3" s="31" t="str">
        <f t="shared" ref="C3:C9" si="0">_xlfn.CONCAT($C$1,A3,$D$1)</f>
        <v>model_.go</v>
      </c>
      <c r="D3" s="31" t="s">
        <v>15</v>
      </c>
      <c r="E3" s="31"/>
      <c r="F3" s="13"/>
      <c r="G3" s="13"/>
      <c r="H3" s="13"/>
      <c r="I3" s="31"/>
      <c r="J3" s="31"/>
      <c r="K3" s="31"/>
      <c r="L3" s="31"/>
      <c r="M3" s="31"/>
      <c r="N3" s="31"/>
      <c r="O3" s="31"/>
      <c r="P3" s="31"/>
      <c r="Q3" s="30"/>
      <c r="R3" s="30"/>
      <c r="S3" s="30"/>
      <c r="T3" s="30"/>
      <c r="U3" s="30"/>
      <c r="V3" s="30"/>
      <c r="W3" s="30"/>
      <c r="X3" s="30"/>
      <c r="Y3" s="31"/>
      <c r="Z3" s="31"/>
      <c r="AA3" s="31"/>
      <c r="AB3" s="31"/>
      <c r="AC3" s="31"/>
      <c r="AD3" s="31"/>
      <c r="AE3" s="31"/>
      <c r="AF3" s="31"/>
      <c r="AG3" s="31"/>
      <c r="AH3" s="31"/>
    </row>
    <row r="4" spans="1:34" x14ac:dyDescent="0.3">
      <c r="A4" s="13"/>
      <c r="B4" s="31"/>
      <c r="C4" s="31" t="str">
        <f t="shared" si="0"/>
        <v>model_.go</v>
      </c>
      <c r="D4" s="31" t="s">
        <v>16</v>
      </c>
      <c r="E4" s="31"/>
      <c r="F4" s="13"/>
      <c r="G4" s="13"/>
      <c r="H4" s="13"/>
      <c r="I4" s="31"/>
      <c r="J4" s="31"/>
      <c r="K4" s="31"/>
      <c r="L4" s="31"/>
      <c r="M4" s="31"/>
      <c r="N4" s="31"/>
      <c r="O4" s="31"/>
      <c r="P4" s="31"/>
      <c r="Q4" s="30"/>
      <c r="R4" s="30"/>
      <c r="S4" s="30"/>
      <c r="T4" s="30"/>
      <c r="U4" s="30"/>
      <c r="V4" s="30"/>
      <c r="W4" s="30"/>
      <c r="X4" s="30"/>
      <c r="Y4" s="31"/>
      <c r="Z4" s="31"/>
      <c r="AA4" s="31"/>
      <c r="AB4" s="31"/>
      <c r="AC4" s="31"/>
      <c r="AD4" s="31"/>
      <c r="AE4" s="31"/>
      <c r="AF4" s="31"/>
      <c r="AG4" s="31"/>
      <c r="AH4" s="31"/>
    </row>
    <row r="5" spans="1:34" x14ac:dyDescent="0.3">
      <c r="A5" s="13"/>
      <c r="B5" s="31"/>
      <c r="C5" s="31" t="str">
        <f t="shared" si="0"/>
        <v>model_.go</v>
      </c>
      <c r="D5" s="31" t="s">
        <v>17</v>
      </c>
      <c r="E5" s="31"/>
      <c r="F5" s="13"/>
      <c r="G5" s="13"/>
      <c r="H5" s="13"/>
      <c r="I5" s="31"/>
      <c r="J5" s="31"/>
      <c r="K5" s="31"/>
      <c r="L5" s="31"/>
      <c r="M5" s="31"/>
      <c r="N5" s="31"/>
      <c r="O5" s="31"/>
      <c r="P5" s="31"/>
      <c r="Q5" s="30"/>
      <c r="R5" s="30"/>
      <c r="S5" s="30"/>
      <c r="T5" s="30"/>
      <c r="U5" s="30"/>
      <c r="V5" s="30"/>
      <c r="W5" s="30"/>
      <c r="X5" s="30"/>
      <c r="Y5" s="31"/>
      <c r="Z5" s="31"/>
      <c r="AA5" s="31"/>
      <c r="AB5" s="31"/>
      <c r="AC5" s="31"/>
      <c r="AD5" s="31"/>
      <c r="AE5" s="31"/>
      <c r="AF5" s="31"/>
      <c r="AG5" s="31"/>
      <c r="AH5" s="31"/>
    </row>
    <row r="6" spans="1:34" x14ac:dyDescent="0.3">
      <c r="A6" s="13"/>
      <c r="B6" s="31"/>
      <c r="C6" s="31" t="str">
        <f t="shared" si="0"/>
        <v>model_.go</v>
      </c>
      <c r="D6" s="31" t="s">
        <v>18</v>
      </c>
      <c r="E6" s="31"/>
      <c r="F6" s="13"/>
      <c r="G6" s="13"/>
      <c r="H6" s="13"/>
      <c r="I6" s="31"/>
      <c r="J6" s="31"/>
      <c r="K6" s="31"/>
      <c r="L6" s="31"/>
      <c r="M6" s="31"/>
      <c r="N6" s="31"/>
      <c r="O6" s="31"/>
      <c r="P6" s="31"/>
      <c r="Q6" s="30"/>
      <c r="R6" s="30"/>
      <c r="S6" s="30"/>
      <c r="T6" s="30"/>
      <c r="U6" s="30"/>
      <c r="V6" s="30"/>
      <c r="W6" s="30"/>
      <c r="X6" s="30"/>
      <c r="Y6" s="31"/>
      <c r="Z6" s="31"/>
      <c r="AA6" s="31"/>
      <c r="AB6" s="31"/>
      <c r="AC6" s="31"/>
      <c r="AD6" s="31"/>
      <c r="AE6" s="31"/>
      <c r="AF6" s="31"/>
      <c r="AG6" s="31"/>
      <c r="AH6" s="31"/>
    </row>
    <row r="7" spans="1:34" x14ac:dyDescent="0.3">
      <c r="A7" s="13"/>
      <c r="B7" s="31"/>
      <c r="C7" s="31" t="str">
        <f t="shared" si="0"/>
        <v>model_.go</v>
      </c>
      <c r="D7" s="31" t="s">
        <v>19</v>
      </c>
      <c r="E7" s="31"/>
      <c r="F7" s="13"/>
      <c r="G7" s="13"/>
      <c r="H7" s="13"/>
      <c r="I7" s="31"/>
      <c r="J7" s="31"/>
      <c r="K7" s="31"/>
      <c r="L7" s="31"/>
      <c r="M7" s="31"/>
      <c r="N7" s="31"/>
      <c r="O7" s="31"/>
      <c r="P7" s="31"/>
      <c r="Q7" s="30"/>
      <c r="R7" s="30"/>
      <c r="S7" s="30"/>
      <c r="T7" s="30"/>
      <c r="U7" s="30"/>
      <c r="V7" s="30"/>
      <c r="W7" s="30"/>
      <c r="X7" s="30"/>
      <c r="Y7" s="31"/>
      <c r="Z7" s="31"/>
      <c r="AA7" s="31"/>
      <c r="AB7" s="31"/>
      <c r="AC7" s="31"/>
      <c r="AD7" s="31"/>
      <c r="AE7" s="31"/>
      <c r="AF7" s="31"/>
      <c r="AG7" s="31"/>
      <c r="AH7" s="31"/>
    </row>
    <row r="8" spans="1:34" x14ac:dyDescent="0.3">
      <c r="A8" s="13"/>
      <c r="B8" s="31"/>
      <c r="C8" s="31" t="str">
        <f t="shared" si="0"/>
        <v>model_.go</v>
      </c>
      <c r="D8" s="31" t="s">
        <v>20</v>
      </c>
      <c r="E8" s="31"/>
      <c r="F8" s="13"/>
      <c r="G8" s="13"/>
      <c r="H8" s="13"/>
      <c r="I8" s="31"/>
      <c r="J8" s="31"/>
      <c r="K8" s="31"/>
      <c r="L8" s="31"/>
      <c r="M8" s="31"/>
      <c r="N8" s="31"/>
      <c r="O8" s="31"/>
      <c r="P8" s="31"/>
      <c r="Q8" s="30"/>
      <c r="R8" s="30"/>
      <c r="S8" s="30"/>
      <c r="T8" s="30"/>
      <c r="U8" s="30"/>
      <c r="V8" s="30"/>
      <c r="W8" s="30"/>
      <c r="X8" s="30"/>
      <c r="Y8" s="31"/>
      <c r="Z8" s="31"/>
      <c r="AA8" s="31"/>
      <c r="AB8" s="31"/>
      <c r="AC8" s="31"/>
      <c r="AD8" s="31"/>
      <c r="AE8" s="31"/>
      <c r="AF8" s="31"/>
      <c r="AG8" s="31"/>
      <c r="AH8" s="31"/>
    </row>
    <row r="9" spans="1:34" x14ac:dyDescent="0.3">
      <c r="A9" s="13"/>
      <c r="B9" s="31"/>
      <c r="C9" s="31" t="str">
        <f t="shared" si="0"/>
        <v>model_.go</v>
      </c>
      <c r="D9" s="31" t="s">
        <v>21</v>
      </c>
      <c r="E9" s="31"/>
      <c r="F9" s="13"/>
      <c r="G9" s="13"/>
      <c r="H9" s="13"/>
      <c r="I9" s="31"/>
      <c r="J9" s="31"/>
      <c r="K9" s="31"/>
      <c r="L9" s="31"/>
      <c r="M9" s="31"/>
      <c r="N9" s="31"/>
      <c r="O9" s="31"/>
      <c r="P9" s="31"/>
      <c r="Q9" s="30"/>
      <c r="R9" s="30"/>
      <c r="S9" s="30"/>
      <c r="T9" s="30"/>
      <c r="U9" s="30"/>
      <c r="V9" s="30"/>
      <c r="W9" s="30"/>
      <c r="X9" s="30"/>
      <c r="Y9" s="31"/>
      <c r="Z9" s="31"/>
      <c r="AA9" s="31"/>
      <c r="AB9" s="31"/>
      <c r="AC9" s="31"/>
      <c r="AD9" s="31"/>
      <c r="AE9" s="31"/>
      <c r="AF9" s="31"/>
      <c r="AG9" s="31"/>
      <c r="AH9" s="31"/>
    </row>
    <row r="10" spans="1:34" x14ac:dyDescent="0.3">
      <c r="A10" s="31"/>
      <c r="B10" s="31"/>
      <c r="C10" s="31"/>
      <c r="D10" s="31"/>
      <c r="E10" s="31"/>
      <c r="F10" s="13"/>
      <c r="G10" s="13"/>
      <c r="H10" s="13"/>
      <c r="I10" s="31"/>
      <c r="J10" s="31"/>
      <c r="K10" s="31"/>
      <c r="L10" s="31"/>
      <c r="M10" s="31"/>
      <c r="N10" s="31"/>
      <c r="O10" s="31"/>
      <c r="P10" s="31"/>
      <c r="Q10" s="30"/>
      <c r="R10" s="30"/>
      <c r="S10" s="30"/>
      <c r="T10" s="30"/>
      <c r="U10" s="30"/>
      <c r="V10" s="30"/>
      <c r="W10" s="30"/>
      <c r="X10" s="30"/>
      <c r="Y10" s="31"/>
      <c r="Z10" s="31"/>
      <c r="AA10" s="31"/>
      <c r="AB10" s="31"/>
      <c r="AC10" s="31"/>
      <c r="AD10" s="31"/>
      <c r="AE10" s="31"/>
      <c r="AF10" s="31"/>
      <c r="AG10" s="31"/>
      <c r="AH10" s="31"/>
    </row>
    <row r="11" spans="1:34" x14ac:dyDescent="0.3">
      <c r="A11" s="31"/>
      <c r="B11" s="31"/>
      <c r="C11" s="31"/>
      <c r="D11" s="31"/>
      <c r="E11" s="31"/>
      <c r="F11" s="13"/>
      <c r="G11" s="13"/>
      <c r="H11" s="13"/>
      <c r="I11" s="31"/>
      <c r="J11" s="31"/>
      <c r="K11" s="31"/>
      <c r="L11" s="31"/>
      <c r="M11" s="31"/>
      <c r="N11" s="31"/>
      <c r="O11" s="31"/>
      <c r="P11" s="31"/>
      <c r="Q11" s="30"/>
      <c r="R11" s="30"/>
      <c r="S11" s="30"/>
      <c r="T11" s="30"/>
      <c r="U11" s="30"/>
      <c r="V11" s="30"/>
      <c r="W11" s="30"/>
      <c r="X11" s="30"/>
      <c r="Y11" s="31"/>
      <c r="Z11" s="31"/>
      <c r="AA11" s="31"/>
      <c r="AB11" s="31"/>
      <c r="AC11" s="31"/>
      <c r="AD11" s="31"/>
      <c r="AE11" s="31"/>
      <c r="AF11" s="31"/>
      <c r="AG11" s="31"/>
      <c r="AH11" s="31"/>
    </row>
    <row r="12" spans="1:34" x14ac:dyDescent="0.3">
      <c r="A12" s="31"/>
      <c r="B12" s="31"/>
      <c r="C12" s="31"/>
      <c r="D12" s="31"/>
      <c r="E12" s="31"/>
      <c r="F12" s="13"/>
      <c r="G12" s="13"/>
      <c r="H12" s="13"/>
      <c r="I12" s="31"/>
      <c r="J12" s="31"/>
      <c r="K12" s="31"/>
      <c r="L12" s="31"/>
      <c r="M12" s="31"/>
      <c r="N12" s="31"/>
      <c r="O12" s="31"/>
      <c r="P12" s="31"/>
      <c r="Q12" s="30"/>
      <c r="R12" s="30"/>
      <c r="S12" s="30"/>
      <c r="T12" s="30"/>
      <c r="U12" s="30"/>
      <c r="V12" s="30"/>
      <c r="W12" s="30"/>
      <c r="X12" s="30"/>
      <c r="Y12" s="31"/>
      <c r="Z12" s="31"/>
      <c r="AA12" s="31"/>
      <c r="AB12" s="31"/>
      <c r="AC12" s="31"/>
      <c r="AD12" s="31"/>
      <c r="AE12" s="31"/>
      <c r="AF12" s="31"/>
      <c r="AG12" s="31"/>
      <c r="AH12" s="31"/>
    </row>
    <row r="13" spans="1:34" x14ac:dyDescent="0.3">
      <c r="A13" s="31"/>
      <c r="B13" s="31"/>
      <c r="C13" s="31"/>
      <c r="D13" s="31"/>
      <c r="E13" s="31"/>
      <c r="F13" s="13"/>
      <c r="G13" s="13"/>
      <c r="H13" s="13"/>
      <c r="I13" s="31"/>
      <c r="J13" s="31"/>
      <c r="K13" s="31"/>
      <c r="L13" s="31"/>
      <c r="M13" s="31"/>
      <c r="N13" s="31"/>
      <c r="O13" s="31"/>
      <c r="P13" s="31"/>
      <c r="Q13" s="30"/>
      <c r="R13" s="30"/>
      <c r="S13" s="30"/>
      <c r="T13" s="30"/>
      <c r="U13" s="30"/>
      <c r="V13" s="30"/>
      <c r="W13" s="30"/>
      <c r="X13" s="30"/>
      <c r="Y13" s="31"/>
      <c r="Z13" s="31"/>
      <c r="AA13" s="31"/>
      <c r="AB13" s="31"/>
      <c r="AC13" s="31"/>
      <c r="AD13" s="31"/>
      <c r="AE13" s="31"/>
      <c r="AF13" s="31"/>
      <c r="AG13" s="31"/>
      <c r="AH13" s="31"/>
    </row>
    <row r="14" spans="1:34" x14ac:dyDescent="0.3">
      <c r="A14" s="31"/>
      <c r="B14" s="31"/>
      <c r="C14" s="31"/>
      <c r="D14" s="31"/>
      <c r="E14" s="31"/>
      <c r="F14" s="13"/>
      <c r="G14" s="13"/>
      <c r="H14" s="13"/>
      <c r="I14" s="31"/>
      <c r="J14" s="31"/>
      <c r="K14" s="31"/>
      <c r="L14" s="31"/>
      <c r="M14" s="31"/>
      <c r="N14" s="31"/>
      <c r="O14" s="31"/>
      <c r="P14" s="31"/>
      <c r="Q14" s="30"/>
      <c r="R14" s="30"/>
      <c r="S14" s="30"/>
      <c r="T14" s="30"/>
      <c r="U14" s="30"/>
      <c r="V14" s="30"/>
      <c r="W14" s="30"/>
      <c r="X14" s="30"/>
      <c r="Y14" s="31"/>
      <c r="Z14" s="31"/>
      <c r="AA14" s="31"/>
      <c r="AB14" s="31"/>
      <c r="AC14" s="31"/>
      <c r="AD14" s="31"/>
      <c r="AE14" s="31"/>
      <c r="AF14" s="31"/>
      <c r="AG14" s="31"/>
      <c r="AH14" s="31"/>
    </row>
    <row r="15" spans="1:34" x14ac:dyDescent="0.3">
      <c r="A15" s="31"/>
      <c r="B15" s="31"/>
      <c r="C15" s="31"/>
      <c r="D15" s="31"/>
      <c r="E15" s="31"/>
      <c r="F15" s="13"/>
      <c r="G15" s="13"/>
      <c r="H15" s="13"/>
      <c r="I15" s="31"/>
      <c r="J15" s="31"/>
      <c r="K15" s="31"/>
      <c r="L15" s="31"/>
      <c r="M15" s="31"/>
      <c r="N15" s="31"/>
      <c r="O15" s="31"/>
      <c r="P15" s="31"/>
      <c r="Q15" s="30"/>
      <c r="R15" s="30"/>
      <c r="S15" s="30"/>
      <c r="T15" s="30"/>
      <c r="U15" s="30"/>
      <c r="V15" s="30"/>
      <c r="W15" s="30"/>
      <c r="X15" s="30"/>
      <c r="Y15" s="31"/>
      <c r="Z15" s="31"/>
      <c r="AA15" s="31"/>
      <c r="AB15" s="31"/>
      <c r="AC15" s="31"/>
      <c r="AD15" s="31"/>
      <c r="AE15" s="31"/>
      <c r="AF15" s="31"/>
      <c r="AG15" s="31"/>
      <c r="AH15" s="31"/>
    </row>
    <row r="16" spans="1:34" x14ac:dyDescent="0.3">
      <c r="A16" s="31"/>
      <c r="B16" s="31"/>
      <c r="C16" s="31"/>
      <c r="D16" s="31"/>
      <c r="E16" s="31"/>
      <c r="F16" s="13"/>
      <c r="G16" s="13"/>
      <c r="H16" s="13"/>
      <c r="I16" s="31"/>
      <c r="J16" s="31"/>
      <c r="K16" s="31"/>
      <c r="L16" s="31"/>
      <c r="M16" s="31"/>
      <c r="N16" s="31"/>
      <c r="O16" s="31"/>
      <c r="P16" s="31"/>
      <c r="Q16" s="30"/>
      <c r="R16" s="30"/>
      <c r="S16" s="30"/>
      <c r="T16" s="30"/>
      <c r="U16" s="30"/>
      <c r="V16" s="30"/>
      <c r="W16" s="30"/>
      <c r="X16" s="30"/>
      <c r="Y16" s="31"/>
      <c r="Z16" s="31"/>
      <c r="AA16" s="31"/>
      <c r="AB16" s="31"/>
      <c r="AC16" s="31"/>
      <c r="AD16" s="31"/>
      <c r="AE16" s="31"/>
      <c r="AF16" s="31"/>
      <c r="AG16" s="31"/>
      <c r="AH16" s="31"/>
    </row>
    <row r="17" spans="1:34" x14ac:dyDescent="0.3">
      <c r="A17" s="31"/>
      <c r="B17" s="31"/>
      <c r="C17" s="31"/>
      <c r="D17" s="31"/>
      <c r="E17" s="31"/>
      <c r="F17" s="13"/>
      <c r="G17" s="13"/>
      <c r="H17" s="13"/>
      <c r="I17" s="31"/>
      <c r="J17" s="31"/>
      <c r="K17" s="31"/>
      <c r="L17" s="31"/>
      <c r="M17" s="31"/>
      <c r="N17" s="31"/>
      <c r="O17" s="31"/>
      <c r="P17" s="31"/>
      <c r="Q17" s="30"/>
      <c r="R17" s="30"/>
      <c r="S17" s="30"/>
      <c r="T17" s="30"/>
      <c r="U17" s="30"/>
      <c r="V17" s="30"/>
      <c r="W17" s="30"/>
      <c r="X17" s="30"/>
      <c r="Y17" s="31"/>
      <c r="Z17" s="31"/>
      <c r="AA17" s="31"/>
      <c r="AB17" s="31"/>
      <c r="AC17" s="31"/>
      <c r="AD17" s="31"/>
      <c r="AE17" s="31"/>
      <c r="AF17" s="31"/>
      <c r="AG17" s="31"/>
      <c r="AH17" s="31"/>
    </row>
    <row r="18" spans="1:34" x14ac:dyDescent="0.3">
      <c r="A18" s="31"/>
      <c r="B18" s="31"/>
      <c r="C18" s="31"/>
      <c r="D18" s="31"/>
      <c r="E18" s="31"/>
      <c r="F18" s="13"/>
      <c r="G18" s="13"/>
      <c r="H18" s="13"/>
      <c r="I18" s="31"/>
      <c r="J18" s="31"/>
      <c r="K18" s="31"/>
      <c r="L18" s="31"/>
      <c r="M18" s="31"/>
      <c r="N18" s="31"/>
      <c r="O18" s="31"/>
      <c r="P18" s="31"/>
      <c r="Q18" s="30"/>
      <c r="R18" s="30"/>
      <c r="S18" s="30"/>
      <c r="T18" s="30"/>
      <c r="U18" s="30"/>
      <c r="V18" s="30"/>
      <c r="W18" s="30"/>
      <c r="X18" s="30"/>
      <c r="Y18" s="31"/>
      <c r="Z18" s="31"/>
      <c r="AA18" s="31"/>
      <c r="AB18" s="31"/>
      <c r="AC18" s="31"/>
      <c r="AD18" s="31"/>
      <c r="AE18" s="31"/>
      <c r="AF18" s="31"/>
      <c r="AG18" s="31"/>
      <c r="AH18" s="31"/>
    </row>
    <row r="19" spans="1:34" x14ac:dyDescent="0.3">
      <c r="A19" s="31"/>
      <c r="B19" s="31"/>
      <c r="C19" s="31"/>
      <c r="D19" s="31"/>
      <c r="E19" s="31"/>
      <c r="F19" s="13"/>
      <c r="G19" s="13"/>
      <c r="H19" s="13"/>
      <c r="I19" s="31"/>
      <c r="J19" s="31"/>
      <c r="K19" s="31"/>
      <c r="L19" s="31"/>
      <c r="M19" s="31"/>
      <c r="N19" s="31"/>
      <c r="O19" s="31"/>
      <c r="P19" s="31"/>
      <c r="Q19" s="30"/>
      <c r="R19" s="30"/>
      <c r="S19" s="30"/>
      <c r="T19" s="30"/>
      <c r="U19" s="30"/>
      <c r="V19" s="30"/>
      <c r="W19" s="30"/>
      <c r="X19" s="30"/>
      <c r="Y19" s="31"/>
      <c r="Z19" s="31"/>
      <c r="AA19" s="31"/>
      <c r="AB19" s="31"/>
      <c r="AC19" s="31"/>
      <c r="AD19" s="31"/>
      <c r="AE19" s="31"/>
      <c r="AF19" s="31"/>
      <c r="AG19" s="31"/>
      <c r="AH19" s="31"/>
    </row>
    <row r="20" spans="1:34" x14ac:dyDescent="0.3">
      <c r="A20" s="31"/>
      <c r="B20" s="31"/>
      <c r="C20" s="31"/>
      <c r="D20" s="31"/>
      <c r="E20" s="31"/>
      <c r="F20" s="13"/>
      <c r="G20" s="13"/>
      <c r="H20" s="13"/>
      <c r="I20" s="31"/>
      <c r="J20" s="31"/>
      <c r="K20" s="31"/>
      <c r="L20" s="31"/>
      <c r="M20" s="31"/>
      <c r="N20" s="31"/>
      <c r="O20" s="31"/>
      <c r="P20" s="31"/>
      <c r="Q20" s="30"/>
      <c r="R20" s="30"/>
      <c r="S20" s="30"/>
      <c r="T20" s="30"/>
      <c r="U20" s="30"/>
      <c r="V20" s="30"/>
      <c r="W20" s="30"/>
      <c r="X20" s="30"/>
      <c r="Y20" s="31"/>
      <c r="Z20" s="31"/>
      <c r="AA20" s="31"/>
      <c r="AB20" s="31"/>
      <c r="AC20" s="31"/>
      <c r="AD20" s="31"/>
      <c r="AE20" s="31"/>
      <c r="AF20" s="31"/>
      <c r="AG20" s="31"/>
      <c r="AH20" s="31"/>
    </row>
    <row r="21" spans="1:34" x14ac:dyDescent="0.3">
      <c r="A21" s="31"/>
      <c r="B21" s="31"/>
      <c r="C21" s="31"/>
      <c r="D21" s="31"/>
      <c r="E21" s="31"/>
      <c r="F21" s="13"/>
      <c r="G21" s="13"/>
      <c r="H21" s="13"/>
      <c r="I21" s="31"/>
      <c r="J21" s="31"/>
      <c r="K21" s="31"/>
      <c r="L21" s="31"/>
      <c r="M21" s="31"/>
      <c r="N21" s="31"/>
      <c r="O21" s="31"/>
      <c r="P21" s="31"/>
      <c r="Q21" s="30"/>
      <c r="R21" s="30"/>
      <c r="S21" s="30"/>
      <c r="T21" s="30"/>
      <c r="U21" s="30"/>
      <c r="V21" s="30"/>
      <c r="W21" s="30"/>
      <c r="X21" s="30"/>
      <c r="Y21" s="31"/>
      <c r="Z21" s="31"/>
      <c r="AA21" s="31"/>
      <c r="AB21" s="31"/>
      <c r="AC21" s="31"/>
      <c r="AD21" s="31"/>
      <c r="AE21" s="31"/>
      <c r="AF21" s="31"/>
      <c r="AG21" s="31"/>
      <c r="AH21" s="31"/>
    </row>
    <row r="22" spans="1:34" x14ac:dyDescent="0.3">
      <c r="A22" s="31"/>
      <c r="B22" s="31"/>
      <c r="C22" s="31"/>
      <c r="D22" s="31"/>
      <c r="E22" s="31"/>
      <c r="F22" s="13"/>
      <c r="G22" s="13"/>
      <c r="H22" s="13"/>
      <c r="I22" s="31"/>
      <c r="J22" s="31"/>
      <c r="K22" s="31"/>
      <c r="L22" s="31"/>
      <c r="M22" s="31"/>
      <c r="N22" s="31"/>
      <c r="O22" s="31"/>
      <c r="P22" s="31"/>
      <c r="Q22" s="30"/>
      <c r="R22" s="30"/>
      <c r="S22" s="30"/>
      <c r="T22" s="30"/>
      <c r="U22" s="30"/>
      <c r="V22" s="30"/>
      <c r="W22" s="30"/>
      <c r="X22" s="30"/>
      <c r="Y22" s="31"/>
      <c r="Z22" s="31"/>
      <c r="AA22" s="31"/>
      <c r="AB22" s="31"/>
      <c r="AC22" s="31"/>
      <c r="AD22" s="31"/>
      <c r="AE22" s="31"/>
      <c r="AF22" s="31"/>
      <c r="AG22" s="31"/>
      <c r="AH22" s="31"/>
    </row>
    <row r="23" spans="1:34" x14ac:dyDescent="0.3">
      <c r="A23" s="31"/>
      <c r="B23" s="31"/>
      <c r="C23" s="31"/>
      <c r="D23" s="31"/>
      <c r="E23" s="31"/>
      <c r="F23" s="13"/>
      <c r="G23" s="13"/>
      <c r="H23" s="13"/>
      <c r="I23" s="31"/>
      <c r="J23" s="31"/>
      <c r="K23" s="31"/>
      <c r="L23" s="31"/>
      <c r="M23" s="31"/>
      <c r="N23" s="31"/>
      <c r="O23" s="31"/>
      <c r="P23" s="31"/>
      <c r="Q23" s="30"/>
      <c r="R23" s="30"/>
      <c r="S23" s="30"/>
      <c r="T23" s="30"/>
      <c r="U23" s="30"/>
      <c r="V23" s="30"/>
      <c r="W23" s="30"/>
      <c r="X23" s="30"/>
      <c r="Y23" s="31"/>
      <c r="Z23" s="31"/>
      <c r="AA23" s="31"/>
      <c r="AB23" s="31"/>
      <c r="AC23" s="31"/>
      <c r="AD23" s="31"/>
      <c r="AE23" s="31"/>
      <c r="AF23" s="31"/>
      <c r="AG23" s="31"/>
      <c r="AH23" s="31"/>
    </row>
    <row r="24" spans="1:34" x14ac:dyDescent="0.3">
      <c r="A24" s="31"/>
      <c r="B24" s="31"/>
      <c r="C24" s="31"/>
      <c r="D24" s="31"/>
      <c r="E24" s="31"/>
      <c r="F24" s="13"/>
      <c r="G24" s="13"/>
      <c r="H24" s="24"/>
      <c r="I24" s="31"/>
      <c r="J24" s="31"/>
      <c r="K24" s="31"/>
      <c r="L24" s="31"/>
      <c r="M24" s="31"/>
      <c r="N24" s="31"/>
      <c r="O24" s="31"/>
      <c r="P24" s="31"/>
      <c r="Q24" s="30"/>
      <c r="R24" s="30"/>
      <c r="S24" s="30"/>
      <c r="T24" s="30"/>
      <c r="U24" s="30"/>
      <c r="V24" s="30"/>
      <c r="W24" s="30"/>
      <c r="X24" s="30"/>
      <c r="Y24" s="31"/>
      <c r="Z24" s="31"/>
      <c r="AA24" s="31"/>
      <c r="AB24" s="31"/>
      <c r="AC24" s="31"/>
      <c r="AD24" s="31"/>
      <c r="AE24" s="31"/>
      <c r="AF24" s="31"/>
      <c r="AG24" s="31"/>
      <c r="AH24" s="31"/>
    </row>
    <row r="25" spans="1:34" x14ac:dyDescent="0.3">
      <c r="A25" s="31"/>
      <c r="B25" s="31"/>
      <c r="C25" s="31"/>
      <c r="D25" s="31"/>
      <c r="E25" s="31"/>
      <c r="F25" s="13"/>
      <c r="G25" s="13"/>
      <c r="H25" s="24"/>
      <c r="I25" s="31"/>
      <c r="J25" s="31"/>
      <c r="K25" s="31"/>
      <c r="L25" s="31"/>
      <c r="M25" s="31"/>
      <c r="N25" s="31"/>
      <c r="O25" s="31"/>
      <c r="P25" s="31"/>
      <c r="Q25" s="30"/>
      <c r="R25" s="30"/>
      <c r="S25" s="30"/>
      <c r="T25" s="30"/>
      <c r="U25" s="30"/>
      <c r="V25" s="30"/>
      <c r="W25" s="30"/>
      <c r="X25" s="30"/>
      <c r="Y25" s="31"/>
      <c r="Z25" s="31"/>
      <c r="AA25" s="31"/>
      <c r="AB25" s="31"/>
      <c r="AC25" s="31"/>
      <c r="AD25" s="31"/>
      <c r="AE25" s="31"/>
      <c r="AF25" s="31"/>
      <c r="AG25" s="31"/>
      <c r="AH25" s="31"/>
    </row>
    <row r="26" spans="1:34" x14ac:dyDescent="0.3">
      <c r="A26" s="31"/>
      <c r="B26" s="31"/>
      <c r="C26" s="31"/>
      <c r="D26" s="31"/>
      <c r="E26" s="31"/>
      <c r="F26" s="13"/>
      <c r="G26" s="13"/>
      <c r="H26" s="24"/>
      <c r="I26" s="31"/>
      <c r="J26" s="31"/>
      <c r="K26" s="31"/>
      <c r="L26" s="31"/>
      <c r="M26" s="31"/>
      <c r="N26" s="31"/>
      <c r="O26" s="31"/>
      <c r="P26" s="31"/>
      <c r="Q26" s="30"/>
      <c r="R26" s="30"/>
      <c r="S26" s="30"/>
      <c r="T26" s="30"/>
      <c r="U26" s="30"/>
      <c r="V26" s="30"/>
      <c r="W26" s="30"/>
      <c r="X26" s="30"/>
      <c r="Y26" s="31"/>
      <c r="Z26" s="31"/>
      <c r="AA26" s="31"/>
      <c r="AB26" s="31"/>
      <c r="AC26" s="31"/>
      <c r="AD26" s="31"/>
      <c r="AE26" s="31"/>
      <c r="AF26" s="31"/>
      <c r="AG26" s="31"/>
      <c r="AH26" s="31"/>
    </row>
    <row r="27" spans="1:34" x14ac:dyDescent="0.3">
      <c r="A27" s="31"/>
      <c r="B27" s="31"/>
      <c r="C27" s="31"/>
      <c r="D27" s="31"/>
      <c r="E27" s="31"/>
      <c r="F27" s="13"/>
      <c r="G27" s="13"/>
      <c r="H27" s="24"/>
      <c r="I27" s="31"/>
      <c r="J27" s="31"/>
      <c r="K27" s="31"/>
      <c r="L27" s="31"/>
      <c r="M27" s="31"/>
      <c r="N27" s="31"/>
      <c r="O27" s="31"/>
      <c r="P27" s="31"/>
      <c r="Q27" s="30"/>
      <c r="R27" s="30"/>
      <c r="S27" s="30"/>
      <c r="T27" s="30"/>
      <c r="U27" s="30"/>
      <c r="V27" s="30"/>
      <c r="W27" s="30"/>
      <c r="X27" s="30"/>
      <c r="Y27" s="31"/>
      <c r="Z27" s="31"/>
      <c r="AA27" s="31"/>
      <c r="AB27" s="31"/>
      <c r="AC27" s="31"/>
      <c r="AD27" s="31"/>
      <c r="AE27" s="31"/>
      <c r="AF27" s="31"/>
      <c r="AG27" s="31"/>
      <c r="AH27" s="31"/>
    </row>
    <row r="28" spans="1:34" x14ac:dyDescent="0.3">
      <c r="A28" s="31"/>
      <c r="B28" s="31"/>
      <c r="C28" s="31"/>
      <c r="D28" s="31"/>
      <c r="E28" s="31"/>
      <c r="F28" s="13"/>
      <c r="G28" s="13"/>
      <c r="H28" s="24"/>
      <c r="I28" s="31"/>
      <c r="J28" s="31"/>
      <c r="K28" s="31"/>
      <c r="L28" s="31"/>
      <c r="M28" s="31"/>
      <c r="N28" s="31"/>
      <c r="O28" s="31"/>
      <c r="P28" s="31"/>
      <c r="Q28" s="30"/>
      <c r="R28" s="30"/>
      <c r="S28" s="30"/>
      <c r="T28" s="30"/>
      <c r="U28" s="30"/>
      <c r="V28" s="30"/>
      <c r="W28" s="30"/>
      <c r="X28" s="30"/>
      <c r="Y28" s="31"/>
      <c r="Z28" s="31"/>
      <c r="AA28" s="31"/>
      <c r="AB28" s="31"/>
      <c r="AC28" s="31"/>
      <c r="AD28" s="31"/>
      <c r="AE28" s="31"/>
      <c r="AF28" s="31"/>
      <c r="AG28" s="31"/>
      <c r="AH28" s="31"/>
    </row>
    <row r="29" spans="1:34" x14ac:dyDescent="0.3">
      <c r="A29" s="31"/>
      <c r="B29" s="31"/>
      <c r="C29" s="31"/>
      <c r="D29" s="31"/>
      <c r="E29" s="31"/>
      <c r="F29" s="13"/>
      <c r="G29" s="13"/>
      <c r="H29" s="13"/>
      <c r="I29" s="31"/>
      <c r="J29" s="31"/>
      <c r="K29" s="31"/>
      <c r="L29" s="31"/>
      <c r="M29" s="31"/>
      <c r="N29" s="31"/>
      <c r="O29" s="31"/>
      <c r="P29" s="31"/>
      <c r="Q29" s="30"/>
      <c r="R29" s="30"/>
      <c r="S29" s="30"/>
      <c r="T29" s="30"/>
      <c r="U29" s="30"/>
      <c r="V29" s="30"/>
      <c r="W29" s="30"/>
      <c r="X29" s="30"/>
      <c r="Y29" s="31"/>
      <c r="Z29" s="31"/>
      <c r="AA29" s="31"/>
      <c r="AB29" s="31"/>
      <c r="AC29" s="31"/>
      <c r="AD29" s="31"/>
      <c r="AE29" s="31"/>
      <c r="AF29" s="31"/>
      <c r="AG29" s="31"/>
      <c r="AH29" s="31"/>
    </row>
    <row r="30" spans="1:34" x14ac:dyDescent="0.3">
      <c r="A30" s="31"/>
      <c r="B30" s="31"/>
      <c r="C30" s="31"/>
      <c r="D30" s="31"/>
      <c r="E30" s="31"/>
      <c r="F30" s="13"/>
      <c r="G30" s="13"/>
      <c r="H30" s="13"/>
      <c r="I30" s="31"/>
      <c r="J30" s="31"/>
      <c r="K30" s="31"/>
      <c r="L30" s="31"/>
      <c r="M30" s="31"/>
      <c r="N30" s="31"/>
      <c r="O30" s="31"/>
      <c r="P30" s="31"/>
      <c r="Q30" s="30"/>
      <c r="R30" s="30"/>
      <c r="S30" s="30"/>
      <c r="T30" s="30"/>
      <c r="U30" s="30"/>
      <c r="V30" s="30"/>
      <c r="W30" s="30"/>
      <c r="X30" s="30"/>
      <c r="Y30" s="31"/>
      <c r="Z30" s="31"/>
      <c r="AA30" s="31"/>
      <c r="AB30" s="31"/>
      <c r="AC30" s="31"/>
      <c r="AD30" s="31"/>
      <c r="AE30" s="31"/>
      <c r="AF30" s="31"/>
      <c r="AG30" s="31"/>
      <c r="AH30" s="31"/>
    </row>
    <row r="31" spans="1:34" x14ac:dyDescent="0.3">
      <c r="A31" s="31"/>
      <c r="B31" s="31"/>
      <c r="C31" s="31"/>
      <c r="D31" s="31"/>
      <c r="E31" s="31"/>
      <c r="F31" s="13"/>
      <c r="G31" s="13"/>
      <c r="H31" s="13"/>
      <c r="I31" s="31"/>
      <c r="J31" s="31"/>
      <c r="K31" s="31"/>
      <c r="L31" s="31"/>
      <c r="M31" s="31"/>
      <c r="N31" s="31"/>
      <c r="O31" s="31"/>
      <c r="P31" s="31"/>
      <c r="Q31" s="30"/>
      <c r="R31" s="30"/>
      <c r="S31" s="30"/>
      <c r="T31" s="30"/>
      <c r="U31" s="30"/>
      <c r="V31" s="30"/>
      <c r="W31" s="30"/>
      <c r="X31" s="30"/>
      <c r="Y31" s="31"/>
      <c r="Z31" s="31"/>
      <c r="AA31" s="31"/>
      <c r="AB31" s="31"/>
      <c r="AC31" s="31"/>
      <c r="AD31" s="31"/>
      <c r="AE31" s="31"/>
      <c r="AF31" s="31"/>
      <c r="AG31" s="31"/>
      <c r="AH31" s="31"/>
    </row>
    <row r="32" spans="1:34" x14ac:dyDescent="0.3">
      <c r="A32" s="31"/>
      <c r="B32" s="31"/>
      <c r="C32" s="31"/>
      <c r="D32" s="31"/>
      <c r="E32" s="31"/>
      <c r="F32" s="13"/>
      <c r="G32" s="13"/>
      <c r="H32" s="13"/>
      <c r="I32" s="31"/>
      <c r="J32" s="31"/>
      <c r="K32" s="31"/>
      <c r="L32" s="31"/>
      <c r="M32" s="31"/>
      <c r="N32" s="31"/>
      <c r="O32" s="31"/>
      <c r="P32" s="31"/>
      <c r="Q32" s="30"/>
      <c r="R32" s="30"/>
      <c r="S32" s="30"/>
      <c r="T32" s="30"/>
      <c r="U32" s="30"/>
      <c r="V32" s="30"/>
      <c r="W32" s="30"/>
      <c r="X32" s="30"/>
      <c r="Y32" s="31"/>
      <c r="Z32" s="31"/>
      <c r="AA32" s="31"/>
      <c r="AB32" s="31"/>
      <c r="AC32" s="31"/>
      <c r="AD32" s="31"/>
      <c r="AE32" s="31"/>
      <c r="AF32" s="31"/>
      <c r="AG32" s="31"/>
      <c r="AH32" s="31"/>
    </row>
    <row r="33" spans="1:34" x14ac:dyDescent="0.3">
      <c r="A33" s="31"/>
      <c r="B33" s="31"/>
      <c r="C33" s="31"/>
      <c r="D33" s="31"/>
      <c r="E33" s="31"/>
      <c r="F33" s="13"/>
      <c r="G33" s="13"/>
      <c r="H33" s="24"/>
      <c r="I33" s="31"/>
      <c r="J33" s="31"/>
      <c r="K33" s="31"/>
      <c r="L33" s="31"/>
      <c r="M33" s="31"/>
      <c r="N33" s="31"/>
      <c r="O33" s="31"/>
      <c r="P33" s="31"/>
      <c r="Q33" s="30"/>
      <c r="R33" s="30"/>
      <c r="S33" s="30"/>
      <c r="T33" s="30"/>
      <c r="U33" s="30"/>
      <c r="V33" s="30"/>
      <c r="W33" s="30"/>
      <c r="X33" s="30"/>
      <c r="Y33" s="31"/>
      <c r="Z33" s="31"/>
      <c r="AA33" s="31"/>
      <c r="AB33" s="31"/>
      <c r="AC33" s="31"/>
      <c r="AD33" s="31"/>
      <c r="AE33" s="31"/>
      <c r="AF33" s="31"/>
      <c r="AG33" s="31"/>
      <c r="AH33" s="31"/>
    </row>
    <row r="34" spans="1:34" x14ac:dyDescent="0.3">
      <c r="A34" s="31"/>
      <c r="B34" s="31"/>
      <c r="C34" s="31"/>
      <c r="D34" s="31"/>
      <c r="E34" s="31"/>
      <c r="F34" s="13"/>
      <c r="G34" s="13"/>
      <c r="H34" s="24"/>
      <c r="I34" s="31"/>
      <c r="J34" s="31"/>
      <c r="K34" s="31"/>
      <c r="L34" s="31"/>
      <c r="M34" s="31"/>
      <c r="N34" s="31"/>
      <c r="O34" s="31"/>
      <c r="P34" s="31"/>
      <c r="Q34" s="30"/>
      <c r="R34" s="30"/>
      <c r="S34" s="30"/>
      <c r="T34" s="30"/>
      <c r="U34" s="30"/>
      <c r="V34" s="30"/>
      <c r="W34" s="30"/>
      <c r="X34" s="30"/>
      <c r="Y34" s="31"/>
      <c r="Z34" s="31"/>
      <c r="AA34" s="31"/>
      <c r="AB34" s="31"/>
      <c r="AC34" s="31"/>
      <c r="AD34" s="31"/>
      <c r="AE34" s="31"/>
      <c r="AF34" s="31"/>
      <c r="AG34" s="31"/>
      <c r="AH34" s="31"/>
    </row>
    <row r="35" spans="1:34" x14ac:dyDescent="0.3">
      <c r="A35" s="31"/>
      <c r="B35" s="31"/>
      <c r="C35" s="31"/>
      <c r="D35" s="31"/>
      <c r="E35" s="31"/>
      <c r="F35" s="13"/>
      <c r="G35" s="13"/>
      <c r="H35" s="24"/>
      <c r="I35" s="31"/>
      <c r="J35" s="31"/>
      <c r="K35" s="31"/>
      <c r="L35" s="31"/>
      <c r="M35" s="31"/>
      <c r="N35" s="31"/>
      <c r="O35" s="31"/>
      <c r="P35" s="31"/>
      <c r="Q35" s="30"/>
      <c r="R35" s="30"/>
      <c r="S35" s="30"/>
      <c r="T35" s="30"/>
      <c r="U35" s="30"/>
      <c r="V35" s="30"/>
      <c r="W35" s="30"/>
      <c r="X35" s="30"/>
      <c r="Y35" s="31"/>
      <c r="Z35" s="31"/>
      <c r="AA35" s="31"/>
      <c r="AB35" s="31"/>
      <c r="AC35" s="31"/>
      <c r="AD35" s="31"/>
      <c r="AE35" s="31"/>
      <c r="AF35" s="31"/>
      <c r="AG35" s="31"/>
      <c r="AH35" s="31"/>
    </row>
    <row r="36" spans="1:34" x14ac:dyDescent="0.3">
      <c r="A36" s="31"/>
      <c r="B36" s="31"/>
      <c r="C36" s="31"/>
      <c r="D36" s="31"/>
      <c r="E36" s="31"/>
      <c r="F36" s="13"/>
      <c r="G36" s="13"/>
      <c r="H36" s="13"/>
      <c r="I36" s="31"/>
      <c r="J36" s="31"/>
      <c r="K36" s="31"/>
      <c r="L36" s="31"/>
      <c r="M36" s="31"/>
      <c r="N36" s="31"/>
      <c r="O36" s="31"/>
      <c r="P36" s="31"/>
      <c r="Q36" s="30"/>
      <c r="R36" s="30"/>
      <c r="S36" s="30"/>
      <c r="T36" s="30"/>
      <c r="U36" s="30"/>
      <c r="V36" s="30"/>
      <c r="W36" s="30"/>
      <c r="X36" s="30"/>
      <c r="Y36" s="31"/>
      <c r="Z36" s="31"/>
      <c r="AA36" s="31"/>
      <c r="AB36" s="31"/>
      <c r="AC36" s="31"/>
      <c r="AD36" s="31"/>
      <c r="AE36" s="31"/>
      <c r="AF36" s="31"/>
      <c r="AG36" s="31"/>
      <c r="AH36" s="31"/>
    </row>
    <row r="37" spans="1:34" x14ac:dyDescent="0.3">
      <c r="A37" s="31"/>
      <c r="B37" s="31"/>
      <c r="C37" s="31"/>
      <c r="D37" s="31"/>
      <c r="E37" s="31"/>
      <c r="F37" s="13"/>
      <c r="G37" s="13"/>
      <c r="H37" s="13"/>
      <c r="I37" s="31"/>
      <c r="J37" s="31"/>
      <c r="K37" s="31"/>
      <c r="L37" s="31"/>
      <c r="M37" s="31"/>
      <c r="N37" s="31"/>
      <c r="O37" s="31"/>
      <c r="P37" s="31"/>
      <c r="Q37" s="30"/>
      <c r="R37" s="30"/>
      <c r="S37" s="30"/>
      <c r="T37" s="30"/>
      <c r="U37" s="30"/>
      <c r="V37" s="30"/>
      <c r="W37" s="30"/>
      <c r="X37" s="30"/>
      <c r="Y37" s="31"/>
      <c r="Z37" s="31"/>
      <c r="AA37" s="31"/>
      <c r="AB37" s="31"/>
      <c r="AC37" s="31"/>
      <c r="AD37" s="31"/>
      <c r="AE37" s="31"/>
      <c r="AF37" s="31"/>
      <c r="AG37" s="31"/>
      <c r="AH37" s="31"/>
    </row>
    <row r="38" spans="1:34" x14ac:dyDescent="0.3">
      <c r="A38" s="31"/>
      <c r="B38" s="31"/>
      <c r="C38" s="31"/>
      <c r="D38" s="31"/>
      <c r="E38" s="31"/>
      <c r="F38" s="13"/>
      <c r="G38" s="13"/>
      <c r="H38" s="13"/>
      <c r="I38" s="31"/>
      <c r="J38" s="31"/>
      <c r="K38" s="31"/>
      <c r="L38" s="31"/>
      <c r="M38" s="31"/>
      <c r="N38" s="31"/>
      <c r="O38" s="31"/>
      <c r="P38" s="31"/>
      <c r="Q38" s="30"/>
      <c r="R38" s="30"/>
      <c r="S38" s="30"/>
      <c r="T38" s="30"/>
      <c r="U38" s="30"/>
      <c r="V38" s="30"/>
      <c r="W38" s="30"/>
      <c r="X38" s="30"/>
      <c r="Y38" s="31"/>
      <c r="Z38" s="31"/>
      <c r="AA38" s="31"/>
      <c r="AB38" s="31"/>
      <c r="AC38" s="31"/>
      <c r="AD38" s="31"/>
      <c r="AE38" s="31"/>
      <c r="AF38" s="31"/>
      <c r="AG38" s="31"/>
      <c r="AH38" s="31"/>
    </row>
    <row r="39" spans="1:34" x14ac:dyDescent="0.3">
      <c r="A39" s="31"/>
      <c r="B39" s="31"/>
      <c r="C39" s="31"/>
      <c r="D39" s="31"/>
      <c r="E39" s="31"/>
      <c r="F39" s="13"/>
      <c r="G39" s="13"/>
      <c r="H39" s="13"/>
      <c r="I39" s="31"/>
      <c r="J39" s="31"/>
      <c r="K39" s="31"/>
      <c r="L39" s="31"/>
      <c r="M39" s="31"/>
      <c r="N39" s="31"/>
      <c r="O39" s="31"/>
      <c r="P39" s="31"/>
      <c r="Q39" s="30"/>
      <c r="R39" s="30"/>
      <c r="S39" s="30"/>
      <c r="T39" s="30"/>
      <c r="U39" s="30"/>
      <c r="V39" s="30"/>
      <c r="W39" s="30"/>
      <c r="X39" s="30"/>
      <c r="Y39" s="31"/>
      <c r="Z39" s="31"/>
      <c r="AA39" s="31"/>
      <c r="AB39" s="31"/>
      <c r="AC39" s="31"/>
      <c r="AD39" s="31"/>
      <c r="AE39" s="31"/>
      <c r="AF39" s="31"/>
      <c r="AG39" s="31"/>
      <c r="AH39" s="31"/>
    </row>
    <row r="40" spans="1:34" x14ac:dyDescent="0.3">
      <c r="A40" s="31"/>
      <c r="B40" s="31"/>
      <c r="C40" s="31"/>
      <c r="D40" s="31"/>
      <c r="E40" s="31"/>
      <c r="F40" s="13"/>
      <c r="G40" s="13"/>
      <c r="H40" s="13"/>
      <c r="I40" s="31"/>
      <c r="J40" s="31"/>
      <c r="K40" s="31"/>
      <c r="L40" s="31"/>
      <c r="M40" s="31"/>
      <c r="N40" s="31"/>
      <c r="O40" s="31"/>
      <c r="P40" s="31"/>
      <c r="Q40" s="30"/>
      <c r="R40" s="30"/>
      <c r="S40" s="30"/>
      <c r="T40" s="30"/>
      <c r="U40" s="30"/>
      <c r="V40" s="30"/>
      <c r="W40" s="30"/>
      <c r="X40" s="30"/>
      <c r="Y40" s="31"/>
      <c r="Z40" s="31"/>
      <c r="AA40" s="31"/>
      <c r="AB40" s="31"/>
      <c r="AC40" s="31"/>
      <c r="AD40" s="31"/>
      <c r="AE40" s="31"/>
      <c r="AF40" s="31"/>
      <c r="AG40" s="31"/>
      <c r="AH40" s="31"/>
    </row>
    <row r="41" spans="1:34" x14ac:dyDescent="0.3">
      <c r="A41" s="31"/>
      <c r="B41" s="31"/>
      <c r="C41" s="31"/>
      <c r="D41" s="31"/>
      <c r="E41" s="31"/>
      <c r="F41" s="13"/>
      <c r="G41" s="13"/>
      <c r="H41" s="13"/>
      <c r="I41" s="31"/>
      <c r="J41" s="31"/>
      <c r="K41" s="31"/>
      <c r="L41" s="31"/>
      <c r="M41" s="31"/>
      <c r="N41" s="31"/>
      <c r="O41" s="31"/>
      <c r="P41" s="31"/>
      <c r="Q41" s="30"/>
      <c r="R41" s="30"/>
      <c r="S41" s="30"/>
      <c r="T41" s="30"/>
      <c r="U41" s="30"/>
      <c r="V41" s="30"/>
      <c r="W41" s="30"/>
      <c r="X41" s="30"/>
      <c r="Y41" s="31"/>
      <c r="Z41" s="31"/>
      <c r="AA41" s="31"/>
      <c r="AB41" s="31"/>
      <c r="AC41" s="31"/>
      <c r="AD41" s="31"/>
      <c r="AE41" s="31"/>
      <c r="AF41" s="31"/>
      <c r="AG41" s="31"/>
      <c r="AH41" s="31"/>
    </row>
    <row r="42" spans="1:34" x14ac:dyDescent="0.3">
      <c r="A42" s="31"/>
      <c r="B42" s="31"/>
      <c r="C42" s="31"/>
      <c r="D42" s="31"/>
      <c r="E42" s="31"/>
      <c r="F42" s="13"/>
      <c r="G42" s="13"/>
      <c r="H42" s="13"/>
      <c r="I42" s="31"/>
      <c r="J42" s="31"/>
      <c r="K42" s="31"/>
      <c r="L42" s="31"/>
      <c r="M42" s="31"/>
      <c r="N42" s="31"/>
      <c r="O42" s="31"/>
      <c r="P42" s="31"/>
      <c r="Q42" s="30"/>
      <c r="R42" s="30"/>
      <c r="S42" s="30"/>
      <c r="T42" s="30"/>
      <c r="U42" s="30"/>
      <c r="V42" s="30"/>
      <c r="W42" s="30"/>
      <c r="X42" s="30"/>
      <c r="Y42" s="31"/>
      <c r="Z42" s="31"/>
      <c r="AA42" s="31"/>
      <c r="AB42" s="31"/>
      <c r="AC42" s="31"/>
      <c r="AD42" s="31"/>
      <c r="AE42" s="31"/>
      <c r="AF42" s="31"/>
      <c r="AG42" s="31"/>
      <c r="AH42" s="31"/>
    </row>
    <row r="43" spans="1:34" x14ac:dyDescent="0.3">
      <c r="A43" s="31"/>
      <c r="B43" s="31"/>
      <c r="C43" s="31"/>
      <c r="D43" s="31"/>
      <c r="E43" s="31"/>
      <c r="F43" s="13"/>
      <c r="G43" s="13"/>
      <c r="H43" s="13"/>
      <c r="I43" s="31"/>
      <c r="J43" s="31"/>
      <c r="K43" s="31"/>
      <c r="L43" s="31"/>
      <c r="M43" s="31"/>
      <c r="N43" s="31"/>
      <c r="O43" s="31"/>
      <c r="P43" s="31"/>
      <c r="Q43" s="30"/>
      <c r="R43" s="30"/>
      <c r="S43" s="30"/>
      <c r="T43" s="30"/>
      <c r="U43" s="30"/>
      <c r="V43" s="30"/>
      <c r="W43" s="30"/>
      <c r="X43" s="30"/>
      <c r="Y43" s="31"/>
      <c r="Z43" s="31"/>
      <c r="AA43" s="31"/>
      <c r="AB43" s="31"/>
      <c r="AC43" s="31"/>
      <c r="AD43" s="31"/>
      <c r="AE43" s="31"/>
      <c r="AF43" s="31"/>
      <c r="AG43" s="31"/>
      <c r="AH43" s="31"/>
    </row>
    <row r="44" spans="1:34" x14ac:dyDescent="0.3">
      <c r="A44" s="31"/>
      <c r="B44" s="31"/>
      <c r="C44" s="31"/>
      <c r="D44" s="31"/>
      <c r="E44" s="31"/>
      <c r="F44" s="13"/>
      <c r="G44" s="13"/>
      <c r="H44" s="13"/>
      <c r="I44" s="31"/>
      <c r="J44" s="31"/>
      <c r="K44" s="31"/>
      <c r="L44" s="31"/>
      <c r="M44" s="31"/>
      <c r="N44" s="31"/>
      <c r="O44" s="31"/>
      <c r="P44" s="31"/>
      <c r="Q44" s="30"/>
      <c r="R44" s="30"/>
      <c r="S44" s="30"/>
      <c r="T44" s="30"/>
      <c r="U44" s="30"/>
      <c r="V44" s="30"/>
      <c r="W44" s="30"/>
      <c r="X44" s="30"/>
      <c r="Y44" s="31"/>
      <c r="Z44" s="31"/>
      <c r="AA44" s="31"/>
      <c r="AB44" s="31"/>
      <c r="AC44" s="31"/>
      <c r="AD44" s="31"/>
      <c r="AE44" s="31"/>
      <c r="AF44" s="31"/>
      <c r="AG44" s="31"/>
      <c r="AH44" s="31"/>
    </row>
    <row r="45" spans="1:34" x14ac:dyDescent="0.3">
      <c r="A45" s="31"/>
      <c r="B45" s="31"/>
      <c r="C45" s="31"/>
      <c r="D45" s="31"/>
      <c r="E45" s="31"/>
      <c r="F45" s="13"/>
      <c r="G45" s="13"/>
      <c r="H45" s="13"/>
      <c r="I45" s="31"/>
      <c r="J45" s="31"/>
      <c r="K45" s="31"/>
      <c r="L45" s="31"/>
      <c r="M45" s="31"/>
      <c r="N45" s="31"/>
      <c r="O45" s="31"/>
      <c r="P45" s="31"/>
      <c r="Q45" s="30"/>
      <c r="R45" s="30"/>
      <c r="S45" s="30"/>
      <c r="T45" s="30"/>
      <c r="U45" s="30"/>
      <c r="V45" s="30"/>
      <c r="W45" s="30"/>
      <c r="X45" s="30"/>
      <c r="Y45" s="31"/>
      <c r="Z45" s="31"/>
      <c r="AA45" s="31"/>
      <c r="AB45" s="31"/>
      <c r="AC45" s="31"/>
      <c r="AD45" s="31"/>
      <c r="AE45" s="31"/>
      <c r="AF45" s="31"/>
      <c r="AG45" s="31"/>
      <c r="AH45" s="31"/>
    </row>
    <row r="46" spans="1:34" x14ac:dyDescent="0.3">
      <c r="A46" s="31"/>
      <c r="B46" s="31"/>
      <c r="C46" s="31"/>
      <c r="D46" s="31"/>
      <c r="E46" s="31"/>
      <c r="F46" s="13"/>
      <c r="G46" s="13"/>
      <c r="H46" s="13"/>
      <c r="I46" s="31"/>
      <c r="J46" s="31"/>
      <c r="K46" s="31"/>
      <c r="L46" s="31"/>
      <c r="M46" s="31"/>
      <c r="N46" s="31"/>
      <c r="O46" s="31"/>
      <c r="P46" s="31"/>
      <c r="Q46" s="30"/>
      <c r="R46" s="30"/>
      <c r="S46" s="30"/>
      <c r="T46" s="30"/>
      <c r="U46" s="30"/>
      <c r="V46" s="30"/>
      <c r="W46" s="30"/>
      <c r="X46" s="30"/>
      <c r="Y46" s="31"/>
      <c r="Z46" s="31"/>
      <c r="AA46" s="31"/>
      <c r="AB46" s="31"/>
      <c r="AC46" s="31"/>
      <c r="AD46" s="31"/>
      <c r="AE46" s="31"/>
      <c r="AF46" s="31"/>
      <c r="AG46" s="31"/>
      <c r="AH46" s="31"/>
    </row>
    <row r="47" spans="1:34" x14ac:dyDescent="0.3">
      <c r="A47" s="31"/>
      <c r="B47" s="31"/>
      <c r="C47" s="31"/>
      <c r="D47" s="31"/>
      <c r="E47" s="31"/>
      <c r="F47" s="13"/>
      <c r="G47" s="13"/>
      <c r="H47" s="13"/>
      <c r="I47" s="31"/>
      <c r="J47" s="31"/>
      <c r="K47" s="31"/>
      <c r="L47" s="31"/>
      <c r="M47" s="31"/>
      <c r="N47" s="31"/>
      <c r="O47" s="31"/>
      <c r="P47" s="31"/>
      <c r="Q47" s="30"/>
      <c r="R47" s="30"/>
      <c r="S47" s="30"/>
      <c r="T47" s="30"/>
      <c r="U47" s="30"/>
      <c r="V47" s="30"/>
      <c r="W47" s="30"/>
      <c r="X47" s="30"/>
      <c r="Y47" s="31"/>
      <c r="Z47" s="31"/>
      <c r="AA47" s="31"/>
      <c r="AB47" s="31"/>
      <c r="AC47" s="31"/>
      <c r="AD47" s="31"/>
      <c r="AE47" s="31"/>
      <c r="AF47" s="31"/>
      <c r="AG47" s="31"/>
      <c r="AH47" s="31"/>
    </row>
    <row r="48" spans="1:34" x14ac:dyDescent="0.3">
      <c r="A48" s="31"/>
      <c r="B48" s="31"/>
      <c r="C48" s="31"/>
      <c r="D48" s="31"/>
      <c r="E48" s="31"/>
      <c r="F48" s="13"/>
      <c r="G48" s="13"/>
      <c r="H48" s="13"/>
      <c r="I48" s="31"/>
      <c r="J48" s="31"/>
      <c r="K48" s="31"/>
      <c r="L48" s="31"/>
      <c r="M48" s="31"/>
      <c r="N48" s="31"/>
      <c r="O48" s="31"/>
      <c r="P48" s="31"/>
      <c r="Q48" s="30"/>
      <c r="R48" s="30"/>
      <c r="S48" s="30"/>
      <c r="T48" s="30"/>
      <c r="U48" s="30"/>
      <c r="V48" s="30"/>
      <c r="W48" s="30"/>
      <c r="X48" s="30"/>
      <c r="Y48" s="31"/>
      <c r="Z48" s="31"/>
      <c r="AA48" s="31"/>
      <c r="AB48" s="31"/>
      <c r="AC48" s="31"/>
      <c r="AD48" s="31"/>
      <c r="AE48" s="31"/>
      <c r="AF48" s="31"/>
      <c r="AG48" s="31"/>
      <c r="AH48" s="31"/>
    </row>
    <row r="49" spans="1:34" x14ac:dyDescent="0.3">
      <c r="A49" s="31"/>
      <c r="B49" s="31"/>
      <c r="C49" s="31"/>
      <c r="D49" s="31"/>
      <c r="E49" s="31"/>
      <c r="F49" s="13"/>
      <c r="G49" s="13"/>
      <c r="H49" s="13"/>
      <c r="I49" s="31"/>
      <c r="J49" s="31"/>
      <c r="K49" s="31"/>
      <c r="L49" s="31"/>
      <c r="M49" s="31"/>
      <c r="N49" s="31"/>
      <c r="O49" s="31"/>
      <c r="P49" s="31"/>
      <c r="Q49" s="30"/>
      <c r="R49" s="30"/>
      <c r="S49" s="30"/>
      <c r="T49" s="30"/>
      <c r="U49" s="30"/>
      <c r="V49" s="30"/>
      <c r="W49" s="30"/>
      <c r="X49" s="30"/>
      <c r="Y49" s="31"/>
      <c r="Z49" s="31"/>
      <c r="AA49" s="31"/>
      <c r="AB49" s="31"/>
      <c r="AC49" s="31"/>
      <c r="AD49" s="31"/>
      <c r="AE49" s="31"/>
      <c r="AF49" s="31"/>
      <c r="AG49" s="31"/>
      <c r="AH49" s="31"/>
    </row>
    <row r="50" spans="1:34" x14ac:dyDescent="0.3">
      <c r="A50" s="31"/>
      <c r="B50" s="31"/>
      <c r="C50" s="31"/>
      <c r="D50" s="31"/>
      <c r="E50" s="31"/>
      <c r="F50" s="13"/>
      <c r="G50" s="13"/>
      <c r="H50" s="13"/>
      <c r="I50" s="31"/>
      <c r="J50" s="31"/>
      <c r="K50" s="31"/>
      <c r="L50" s="31"/>
      <c r="M50" s="31"/>
      <c r="N50" s="31"/>
      <c r="O50" s="31"/>
      <c r="P50" s="31"/>
      <c r="Q50" s="30"/>
      <c r="R50" s="30"/>
      <c r="S50" s="30"/>
      <c r="T50" s="30"/>
      <c r="U50" s="30"/>
      <c r="V50" s="30"/>
      <c r="W50" s="30"/>
      <c r="X50" s="30"/>
      <c r="Y50" s="31"/>
      <c r="Z50" s="31"/>
      <c r="AA50" s="31"/>
      <c r="AB50" s="31"/>
      <c r="AC50" s="31"/>
      <c r="AD50" s="31"/>
      <c r="AE50" s="31"/>
      <c r="AF50" s="31"/>
      <c r="AG50" s="31"/>
      <c r="AH50" s="31"/>
    </row>
    <row r="51" spans="1:34" x14ac:dyDescent="0.3">
      <c r="A51" s="31"/>
      <c r="B51" s="31"/>
      <c r="C51" s="31"/>
      <c r="D51" s="31"/>
      <c r="E51" s="31"/>
      <c r="F51" s="13"/>
      <c r="G51" s="13"/>
      <c r="H51" s="13"/>
      <c r="I51" s="31"/>
      <c r="J51" s="31"/>
      <c r="K51" s="31"/>
      <c r="L51" s="31"/>
      <c r="M51" s="31"/>
      <c r="N51" s="31"/>
      <c r="O51" s="31"/>
      <c r="P51" s="31"/>
      <c r="Q51" s="30"/>
      <c r="R51" s="30"/>
      <c r="S51" s="30"/>
      <c r="T51" s="30"/>
      <c r="U51" s="30"/>
      <c r="V51" s="30"/>
      <c r="W51" s="30"/>
      <c r="X51" s="30"/>
      <c r="Y51" s="31"/>
      <c r="Z51" s="31"/>
      <c r="AA51" s="31"/>
      <c r="AB51" s="31"/>
      <c r="AC51" s="31"/>
      <c r="AD51" s="31"/>
      <c r="AE51" s="31"/>
      <c r="AF51" s="31"/>
      <c r="AG51" s="31"/>
      <c r="AH51" s="31"/>
    </row>
    <row r="52" spans="1:34" x14ac:dyDescent="0.3">
      <c r="A52" s="31"/>
      <c r="B52" s="31"/>
      <c r="C52" s="31"/>
      <c r="D52" s="31"/>
      <c r="E52" s="31"/>
      <c r="F52" s="13"/>
      <c r="G52" s="13"/>
      <c r="H52" s="13"/>
      <c r="I52" s="31"/>
      <c r="J52" s="31"/>
      <c r="K52" s="31"/>
      <c r="L52" s="31"/>
      <c r="M52" s="31"/>
      <c r="N52" s="31"/>
      <c r="O52" s="31"/>
      <c r="P52" s="31"/>
      <c r="Q52" s="30"/>
      <c r="R52" s="30"/>
      <c r="S52" s="30"/>
      <c r="T52" s="30"/>
      <c r="U52" s="30"/>
      <c r="V52" s="30"/>
      <c r="W52" s="30"/>
      <c r="X52" s="30"/>
      <c r="Y52" s="31"/>
      <c r="Z52" s="31"/>
      <c r="AA52" s="31"/>
      <c r="AB52" s="31"/>
      <c r="AC52" s="31"/>
      <c r="AD52" s="31"/>
      <c r="AE52" s="31"/>
      <c r="AF52" s="31"/>
      <c r="AG52" s="31"/>
      <c r="AH52" s="31"/>
    </row>
    <row r="53" spans="1:34" x14ac:dyDescent="0.3">
      <c r="A53" s="31"/>
      <c r="B53" s="31"/>
      <c r="C53" s="31"/>
      <c r="D53" s="31"/>
      <c r="E53" s="31"/>
      <c r="F53" s="13"/>
      <c r="G53" s="13"/>
      <c r="H53" s="13"/>
      <c r="I53" s="31"/>
      <c r="J53" s="31"/>
      <c r="K53" s="31"/>
      <c r="L53" s="31"/>
      <c r="M53" s="31"/>
      <c r="N53" s="31"/>
      <c r="O53" s="31"/>
      <c r="P53" s="31"/>
      <c r="Q53" s="30"/>
      <c r="R53" s="30"/>
      <c r="S53" s="30"/>
      <c r="T53" s="30"/>
      <c r="U53" s="30"/>
      <c r="V53" s="30"/>
      <c r="W53" s="30"/>
      <c r="X53" s="30"/>
      <c r="Y53" s="31"/>
      <c r="Z53" s="31"/>
      <c r="AA53" s="31"/>
      <c r="AB53" s="31"/>
      <c r="AC53" s="31"/>
      <c r="AD53" s="31"/>
      <c r="AE53" s="31"/>
      <c r="AF53" s="31"/>
      <c r="AG53" s="31"/>
      <c r="AH53" s="31"/>
    </row>
    <row r="54" spans="1:34" x14ac:dyDescent="0.3">
      <c r="A54" s="31"/>
      <c r="B54" s="31"/>
      <c r="C54" s="31"/>
      <c r="D54" s="31"/>
      <c r="E54" s="31"/>
      <c r="F54" s="13"/>
      <c r="G54" s="13"/>
      <c r="H54" s="13"/>
      <c r="I54" s="31"/>
      <c r="J54" s="31"/>
      <c r="K54" s="31"/>
      <c r="L54" s="31"/>
      <c r="M54" s="31"/>
      <c r="N54" s="31"/>
      <c r="O54" s="31"/>
      <c r="P54" s="31"/>
      <c r="Q54" s="30"/>
      <c r="R54" s="30"/>
      <c r="S54" s="30"/>
      <c r="T54" s="30"/>
      <c r="U54" s="30"/>
      <c r="V54" s="30"/>
      <c r="W54" s="30"/>
      <c r="X54" s="30"/>
      <c r="Y54" s="31"/>
      <c r="Z54" s="31"/>
      <c r="AA54" s="31"/>
      <c r="AB54" s="31"/>
      <c r="AC54" s="31"/>
      <c r="AD54" s="31"/>
      <c r="AE54" s="31"/>
      <c r="AF54" s="31"/>
      <c r="AG54" s="31"/>
      <c r="AH54" s="31"/>
    </row>
    <row r="55" spans="1:34" x14ac:dyDescent="0.3">
      <c r="A55" s="31"/>
      <c r="B55" s="31"/>
      <c r="C55" s="31"/>
      <c r="D55" s="31"/>
      <c r="E55" s="31"/>
      <c r="F55" s="13"/>
      <c r="G55" s="13"/>
      <c r="H55" s="13"/>
      <c r="I55" s="31"/>
      <c r="J55" s="31"/>
      <c r="K55" s="31"/>
      <c r="L55" s="31"/>
      <c r="M55" s="31"/>
      <c r="N55" s="31"/>
      <c r="O55" s="31"/>
      <c r="P55" s="31"/>
      <c r="Q55" s="30"/>
      <c r="R55" s="30"/>
      <c r="S55" s="30"/>
      <c r="T55" s="30"/>
      <c r="U55" s="30"/>
      <c r="V55" s="30"/>
      <c r="W55" s="30"/>
      <c r="X55" s="30"/>
      <c r="Y55" s="31"/>
      <c r="Z55" s="31"/>
      <c r="AA55" s="31"/>
      <c r="AB55" s="31"/>
      <c r="AC55" s="31"/>
      <c r="AD55" s="31"/>
      <c r="AE55" s="31"/>
      <c r="AF55" s="31"/>
      <c r="AG55" s="31"/>
      <c r="AH55" s="31"/>
    </row>
    <row r="56" spans="1:34" x14ac:dyDescent="0.3">
      <c r="A56" s="31"/>
      <c r="B56" s="31"/>
      <c r="C56" s="31"/>
      <c r="D56" s="31"/>
      <c r="E56" s="31"/>
      <c r="F56" s="13"/>
      <c r="G56" s="13"/>
      <c r="H56" s="13"/>
      <c r="I56" s="31"/>
      <c r="J56" s="31"/>
      <c r="K56" s="31"/>
      <c r="L56" s="31"/>
      <c r="M56" s="31"/>
      <c r="N56" s="31"/>
      <c r="O56" s="31"/>
      <c r="P56" s="31"/>
      <c r="Q56" s="30"/>
      <c r="R56" s="30"/>
      <c r="S56" s="30"/>
      <c r="T56" s="30"/>
      <c r="U56" s="30"/>
      <c r="V56" s="30"/>
      <c r="W56" s="30"/>
      <c r="X56" s="30"/>
      <c r="Y56" s="31"/>
      <c r="Z56" s="31"/>
      <c r="AA56" s="31"/>
      <c r="AB56" s="31"/>
      <c r="AC56" s="31"/>
      <c r="AD56" s="31"/>
      <c r="AE56" s="31"/>
      <c r="AF56" s="31"/>
      <c r="AG56" s="31"/>
      <c r="AH56" s="31"/>
    </row>
    <row r="57" spans="1:34" x14ac:dyDescent="0.3">
      <c r="A57" s="31"/>
      <c r="B57" s="31"/>
      <c r="C57" s="31"/>
      <c r="D57" s="31"/>
      <c r="E57" s="31"/>
      <c r="F57" s="13"/>
      <c r="G57" s="13"/>
      <c r="H57" s="13"/>
      <c r="I57" s="31"/>
      <c r="J57" s="31"/>
      <c r="K57" s="31"/>
      <c r="L57" s="31"/>
      <c r="M57" s="31"/>
      <c r="N57" s="31"/>
      <c r="O57" s="31"/>
      <c r="P57" s="31"/>
      <c r="Q57" s="30"/>
      <c r="R57" s="30"/>
      <c r="S57" s="30"/>
      <c r="T57" s="30"/>
      <c r="U57" s="30"/>
      <c r="V57" s="30"/>
      <c r="W57" s="30"/>
      <c r="X57" s="30"/>
      <c r="Y57" s="31"/>
      <c r="Z57" s="31"/>
      <c r="AA57" s="31"/>
      <c r="AB57" s="31"/>
      <c r="AC57" s="31"/>
      <c r="AD57" s="31"/>
      <c r="AE57" s="31"/>
      <c r="AF57" s="31"/>
      <c r="AG57" s="31"/>
      <c r="AH57" s="31"/>
    </row>
    <row r="58" spans="1:34" x14ac:dyDescent="0.3">
      <c r="A58" s="31"/>
      <c r="B58" s="31"/>
      <c r="C58" s="31"/>
      <c r="D58" s="31"/>
      <c r="E58" s="31"/>
      <c r="F58" s="13"/>
      <c r="G58" s="13"/>
      <c r="H58" s="13"/>
      <c r="I58" s="31"/>
      <c r="J58" s="31"/>
      <c r="K58" s="31"/>
      <c r="L58" s="31"/>
      <c r="M58" s="31"/>
      <c r="N58" s="31"/>
      <c r="O58" s="31"/>
      <c r="P58" s="31"/>
      <c r="Q58" s="30"/>
      <c r="R58" s="30"/>
      <c r="S58" s="30"/>
      <c r="T58" s="30"/>
      <c r="U58" s="30"/>
      <c r="V58" s="30"/>
      <c r="W58" s="30"/>
      <c r="X58" s="30"/>
      <c r="Y58" s="31"/>
      <c r="Z58" s="31"/>
      <c r="AA58" s="31"/>
      <c r="AB58" s="31"/>
      <c r="AC58" s="31"/>
      <c r="AD58" s="31"/>
      <c r="AE58" s="31"/>
      <c r="AF58" s="31"/>
      <c r="AG58" s="31"/>
      <c r="AH58" s="31"/>
    </row>
    <row r="59" spans="1:34" x14ac:dyDescent="0.3">
      <c r="A59" s="31"/>
      <c r="B59" s="31"/>
      <c r="C59" s="31"/>
      <c r="D59" s="31"/>
      <c r="E59" s="31"/>
      <c r="F59" s="13"/>
      <c r="G59" s="13"/>
      <c r="H59" s="13"/>
      <c r="I59" s="31"/>
      <c r="J59" s="31"/>
      <c r="K59" s="31"/>
      <c r="L59" s="31"/>
      <c r="M59" s="31"/>
      <c r="N59" s="31"/>
      <c r="O59" s="31"/>
      <c r="P59" s="31"/>
      <c r="Q59" s="30"/>
      <c r="R59" s="30"/>
      <c r="S59" s="30"/>
      <c r="T59" s="30"/>
      <c r="U59" s="30"/>
      <c r="V59" s="30"/>
      <c r="W59" s="30"/>
      <c r="X59" s="30"/>
      <c r="Y59" s="31"/>
      <c r="Z59" s="31"/>
      <c r="AA59" s="31"/>
      <c r="AB59" s="31"/>
      <c r="AC59" s="31"/>
      <c r="AD59" s="31"/>
      <c r="AE59" s="31"/>
      <c r="AF59" s="31"/>
      <c r="AG59" s="31"/>
      <c r="AH59" s="31"/>
    </row>
    <row r="60" spans="1:34" x14ac:dyDescent="0.3">
      <c r="A60" s="31"/>
      <c r="B60" s="31"/>
      <c r="C60" s="31"/>
      <c r="D60" s="31"/>
      <c r="E60" s="31"/>
      <c r="F60" s="13"/>
      <c r="G60" s="13"/>
      <c r="H60" s="13"/>
      <c r="I60" s="31"/>
      <c r="J60" s="31"/>
      <c r="K60" s="31"/>
      <c r="L60" s="31"/>
      <c r="M60" s="31"/>
      <c r="N60" s="31"/>
      <c r="O60" s="31"/>
      <c r="P60" s="31"/>
      <c r="Q60" s="30"/>
      <c r="R60" s="30"/>
      <c r="S60" s="30"/>
      <c r="T60" s="30"/>
      <c r="U60" s="30"/>
      <c r="V60" s="30"/>
      <c r="W60" s="30"/>
      <c r="X60" s="30"/>
      <c r="Y60" s="31"/>
      <c r="Z60" s="31"/>
      <c r="AA60" s="31"/>
      <c r="AB60" s="31"/>
      <c r="AC60" s="31"/>
      <c r="AD60" s="31"/>
      <c r="AE60" s="31"/>
      <c r="AF60" s="31"/>
      <c r="AG60" s="31"/>
      <c r="AH60" s="31"/>
    </row>
    <row r="61" spans="1:34" x14ac:dyDescent="0.3">
      <c r="A61" s="31"/>
      <c r="B61" s="31"/>
      <c r="C61" s="31"/>
      <c r="D61" s="31"/>
      <c r="E61" s="31"/>
      <c r="F61" s="13"/>
      <c r="G61" s="13"/>
      <c r="H61" s="13"/>
      <c r="I61" s="31"/>
      <c r="J61" s="31"/>
      <c r="K61" s="31"/>
      <c r="L61" s="31"/>
      <c r="M61" s="31"/>
      <c r="N61" s="31"/>
      <c r="O61" s="31"/>
      <c r="P61" s="31"/>
      <c r="Q61" s="30"/>
      <c r="R61" s="30"/>
      <c r="S61" s="30"/>
      <c r="T61" s="30"/>
      <c r="U61" s="30"/>
      <c r="V61" s="30"/>
      <c r="W61" s="30"/>
      <c r="X61" s="30"/>
      <c r="Y61" s="31"/>
      <c r="Z61" s="31"/>
      <c r="AA61" s="31"/>
      <c r="AB61" s="31"/>
      <c r="AC61" s="31"/>
      <c r="AD61" s="31"/>
      <c r="AE61" s="31"/>
      <c r="AF61" s="31"/>
      <c r="AG61" s="31"/>
      <c r="AH61" s="31"/>
    </row>
    <row r="62" spans="1:34" x14ac:dyDescent="0.3">
      <c r="A62" s="31"/>
      <c r="B62" s="31"/>
      <c r="C62" s="31"/>
      <c r="D62" s="31"/>
      <c r="E62" s="31"/>
      <c r="F62" s="13"/>
      <c r="G62" s="13"/>
      <c r="H62" s="13"/>
      <c r="I62" s="31"/>
      <c r="J62" s="31"/>
      <c r="K62" s="31"/>
      <c r="L62" s="31"/>
      <c r="M62" s="31"/>
      <c r="N62" s="31"/>
      <c r="O62" s="31"/>
      <c r="P62" s="31"/>
      <c r="Q62" s="30"/>
      <c r="R62" s="30"/>
      <c r="S62" s="30"/>
      <c r="T62" s="30"/>
      <c r="U62" s="30"/>
      <c r="V62" s="30"/>
      <c r="W62" s="30"/>
      <c r="X62" s="30"/>
      <c r="Y62" s="31"/>
      <c r="Z62" s="31"/>
      <c r="AA62" s="31"/>
      <c r="AB62" s="31"/>
      <c r="AC62" s="31"/>
      <c r="AD62" s="31"/>
      <c r="AE62" s="31"/>
      <c r="AF62" s="31"/>
      <c r="AG62" s="31"/>
      <c r="AH62" s="31"/>
    </row>
    <row r="63" spans="1:34" x14ac:dyDescent="0.3">
      <c r="A63" s="31"/>
      <c r="B63" s="31"/>
      <c r="C63" s="31"/>
      <c r="D63" s="31"/>
      <c r="E63" s="31"/>
      <c r="F63" s="13"/>
      <c r="G63" s="13"/>
      <c r="H63" s="13"/>
      <c r="I63" s="31"/>
      <c r="J63" s="31"/>
      <c r="K63" s="31"/>
      <c r="L63" s="31"/>
      <c r="M63" s="31"/>
      <c r="N63" s="31"/>
      <c r="O63" s="31"/>
      <c r="P63" s="31"/>
      <c r="Q63" s="30"/>
      <c r="R63" s="30"/>
      <c r="S63" s="30"/>
      <c r="T63" s="30"/>
      <c r="U63" s="30"/>
      <c r="V63" s="30"/>
      <c r="W63" s="30"/>
      <c r="X63" s="30"/>
      <c r="Y63" s="31"/>
      <c r="Z63" s="31"/>
      <c r="AA63" s="31"/>
      <c r="AB63" s="31"/>
      <c r="AC63" s="31"/>
      <c r="AD63" s="31"/>
      <c r="AE63" s="31"/>
      <c r="AF63" s="31"/>
      <c r="AG63" s="31"/>
      <c r="AH63" s="31"/>
    </row>
    <row r="64" spans="1:34" x14ac:dyDescent="0.3">
      <c r="A64" s="31"/>
      <c r="B64" s="31"/>
      <c r="C64" s="31"/>
      <c r="D64" s="31"/>
      <c r="E64" s="31"/>
      <c r="F64" s="13"/>
      <c r="G64" s="13"/>
      <c r="H64" s="13"/>
      <c r="I64" s="31"/>
      <c r="J64" s="31"/>
      <c r="K64" s="31"/>
      <c r="L64" s="31"/>
      <c r="M64" s="31"/>
      <c r="N64" s="31"/>
      <c r="O64" s="31"/>
      <c r="P64" s="31"/>
      <c r="Q64" s="30"/>
      <c r="R64" s="30"/>
      <c r="S64" s="30"/>
      <c r="T64" s="30"/>
      <c r="U64" s="30"/>
      <c r="V64" s="30"/>
      <c r="W64" s="30"/>
      <c r="X64" s="30"/>
      <c r="Y64" s="31"/>
      <c r="Z64" s="31"/>
      <c r="AA64" s="31"/>
      <c r="AB64" s="31"/>
      <c r="AC64" s="31"/>
      <c r="AD64" s="31"/>
      <c r="AE64" s="31"/>
      <c r="AF64" s="31"/>
      <c r="AG64" s="31"/>
      <c r="AH64" s="31"/>
    </row>
    <row r="65" spans="1:34" x14ac:dyDescent="0.3">
      <c r="A65" s="31"/>
      <c r="B65" s="31"/>
      <c r="C65" s="31"/>
      <c r="D65" s="31"/>
      <c r="E65" s="31"/>
      <c r="F65" s="13"/>
      <c r="G65" s="13"/>
      <c r="H65" s="13"/>
      <c r="I65" s="31"/>
      <c r="J65" s="31"/>
      <c r="K65" s="31"/>
      <c r="L65" s="31"/>
      <c r="M65" s="31"/>
      <c r="N65" s="31"/>
      <c r="O65" s="31"/>
      <c r="P65" s="31"/>
      <c r="Q65" s="30"/>
      <c r="R65" s="30"/>
      <c r="S65" s="30"/>
      <c r="T65" s="30"/>
      <c r="U65" s="30"/>
      <c r="V65" s="30"/>
      <c r="W65" s="30"/>
      <c r="X65" s="30"/>
      <c r="Y65" s="31"/>
      <c r="Z65" s="31"/>
      <c r="AA65" s="31"/>
      <c r="AB65" s="31"/>
      <c r="AC65" s="31"/>
      <c r="AD65" s="31"/>
      <c r="AE65" s="31"/>
      <c r="AF65" s="31"/>
      <c r="AG65" s="31"/>
      <c r="AH65" s="31"/>
    </row>
    <row r="66" spans="1:34" x14ac:dyDescent="0.3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0"/>
      <c r="R66" s="30"/>
      <c r="S66" s="30"/>
      <c r="T66" s="30"/>
      <c r="U66" s="30"/>
      <c r="V66" s="30"/>
      <c r="W66" s="30"/>
      <c r="X66" s="30"/>
      <c r="Y66" s="31"/>
      <c r="Z66" s="31"/>
      <c r="AA66" s="31"/>
      <c r="AB66" s="31"/>
      <c r="AC66" s="31"/>
      <c r="AD66" s="31"/>
      <c r="AE66" s="31"/>
      <c r="AF66" s="31"/>
      <c r="AG66" s="31"/>
      <c r="AH66" s="31"/>
    </row>
    <row r="67" spans="1:34" x14ac:dyDescent="0.3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0"/>
      <c r="R67" s="30"/>
      <c r="S67" s="30"/>
      <c r="T67" s="30"/>
      <c r="U67" s="30"/>
      <c r="V67" s="30"/>
      <c r="W67" s="30"/>
      <c r="X67" s="30"/>
      <c r="Y67" s="31"/>
      <c r="Z67" s="31"/>
      <c r="AA67" s="31"/>
      <c r="AB67" s="31"/>
      <c r="AC67" s="31"/>
      <c r="AD67" s="31"/>
      <c r="AE67" s="31"/>
      <c r="AF67" s="31"/>
      <c r="AG67" s="31"/>
      <c r="AH67" s="31"/>
    </row>
    <row r="68" spans="1:34" x14ac:dyDescent="0.3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0"/>
      <c r="R68" s="30"/>
      <c r="S68" s="30"/>
      <c r="T68" s="30"/>
      <c r="U68" s="30"/>
      <c r="V68" s="30"/>
      <c r="W68" s="30"/>
      <c r="X68" s="30"/>
      <c r="Y68" s="31"/>
      <c r="Z68" s="31"/>
      <c r="AA68" s="31"/>
      <c r="AB68" s="31"/>
      <c r="AC68" s="31"/>
      <c r="AD68" s="31"/>
      <c r="AE68" s="31"/>
      <c r="AF68" s="31"/>
      <c r="AG68" s="31"/>
      <c r="AH68" s="31"/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Index</vt:lpstr>
      <vt:lpstr>Sheet1</vt:lpstr>
      <vt:lpstr>FormulaPlant</vt:lpstr>
      <vt:lpstr>Dashboard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jjoy</dc:creator>
  <cp:lastModifiedBy>jjoy</cp:lastModifiedBy>
  <dcterms:created xsi:type="dcterms:W3CDTF">2021-07-17T14:11:56Z</dcterms:created>
  <dcterms:modified xsi:type="dcterms:W3CDTF">2021-08-08T11:24:43Z</dcterms:modified>
</cp:coreProperties>
</file>